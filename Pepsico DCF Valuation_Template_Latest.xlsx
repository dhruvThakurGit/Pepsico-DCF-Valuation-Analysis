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trlProps/ctrlProp2.xml" ContentType="application/vnd.ms-excel.controlpropertie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opend\OneDrive\Desktop\EXCEL WORKSHEETS\Pepsico DCF - Revenue Projection Files\"/>
    </mc:Choice>
  </mc:AlternateContent>
  <xr:revisionPtr revIDLastSave="0" documentId="13_ncr:1_{32410A71-3BE4-494C-8B85-12006B0CC939}" xr6:coauthVersionLast="47" xr6:coauthVersionMax="47" xr10:uidLastSave="{00000000-0000-0000-0000-000000000000}"/>
  <bookViews>
    <workbookView xWindow="28680" yWindow="-120" windowWidth="29040" windowHeight="15840" activeTab="1" xr2:uid="{00000000-000D-0000-FFFF-FFFF00000000}"/>
  </bookViews>
  <sheets>
    <sheet name="DCF" sheetId="2" r:id="rId1"/>
    <sheet name="DCF Summary" sheetId="26" r:id="rId2"/>
    <sheet name="WACC" sheetId="3" r:id="rId3"/>
    <sheet name="STEP BY STEP" sheetId="25" r:id="rId4"/>
    <sheet name="Beta Calculation" sheetId="4" r:id="rId5"/>
    <sheet name="Debt Schedule" sheetId="24" r:id="rId6"/>
    <sheet name="Fixed Assets Schedule" sheetId="23" r:id="rId7"/>
    <sheet name="PepsiCo-BS" sheetId="5" r:id="rId8"/>
    <sheet name="PepsiCo-CFS" sheetId="22" r:id="rId9"/>
    <sheet name="PepsiCo-IS" sheetId="6" r:id="rId10"/>
    <sheet name="Revenue Segments" sheetId="21" r:id="rId11"/>
  </sheets>
  <definedNames>
    <definedName name="CIQWBGuid" hidden="1">"4f2b5917-b635-45e3-be69-c25f578da840"</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43721.264212963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Titles" localSheetId="7">'PepsiCo-BS'!#REF!</definedName>
    <definedName name="_xlnm.Print_Titles" localSheetId="9">#REF!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26" l="1"/>
  <c r="D19" i="26"/>
  <c r="D17" i="26"/>
  <c r="I44" i="2"/>
  <c r="I45" i="2" s="1"/>
  <c r="I46" i="2" s="1"/>
  <c r="I47" i="2" s="1"/>
  <c r="I48" i="2" s="1"/>
  <c r="I49" i="2" s="1"/>
  <c r="I50" i="2" s="1"/>
  <c r="I51" i="2" s="1"/>
  <c r="J42" i="2"/>
  <c r="K28" i="2"/>
  <c r="K42" i="2" s="1"/>
  <c r="I30" i="2"/>
  <c r="I31" i="2" s="1"/>
  <c r="I32" i="2" s="1"/>
  <c r="I33" i="2" s="1"/>
  <c r="I34" i="2" s="1"/>
  <c r="I35" i="2" s="1"/>
  <c r="I36" i="2" s="1"/>
  <c r="I37" i="2" s="1"/>
  <c r="D52" i="2"/>
  <c r="D33" i="2"/>
  <c r="D48" i="2" s="1"/>
  <c r="D39" i="2"/>
  <c r="D54" i="2" s="1"/>
  <c r="D37" i="2"/>
  <c r="D36" i="2"/>
  <c r="D51" i="2" s="1"/>
  <c r="D35" i="2"/>
  <c r="D50" i="2" s="1"/>
  <c r="H7" i="3"/>
  <c r="H8" i="3" s="1"/>
  <c r="M6" i="3" s="1"/>
  <c r="H6" i="3"/>
  <c r="F24" i="3"/>
  <c r="F25" i="3" s="1"/>
  <c r="F20" i="3"/>
  <c r="F19" i="3"/>
  <c r="F18" i="3"/>
  <c r="F17" i="3"/>
  <c r="I9" i="4"/>
  <c r="H12" i="4"/>
  <c r="H11" i="4"/>
  <c r="H10" i="4"/>
  <c r="H9" i="4"/>
  <c r="H8" i="4"/>
  <c r="H7" i="4"/>
  <c r="H6" i="4"/>
  <c r="H5" i="4"/>
  <c r="H4" i="4"/>
  <c r="U178" i="4"/>
  <c r="U177" i="4"/>
  <c r="U176" i="4"/>
  <c r="U175" i="4"/>
  <c r="U174" i="4"/>
  <c r="U173" i="4"/>
  <c r="U172" i="4"/>
  <c r="U171" i="4"/>
  <c r="U170" i="4"/>
  <c r="U169" i="4"/>
  <c r="U168" i="4"/>
  <c r="U167" i="4"/>
  <c r="U166" i="4"/>
  <c r="U165" i="4"/>
  <c r="U164" i="4"/>
  <c r="U163" i="4"/>
  <c r="U162" i="4"/>
  <c r="U161" i="4"/>
  <c r="U160" i="4"/>
  <c r="U159" i="4"/>
  <c r="U158" i="4"/>
  <c r="U157" i="4"/>
  <c r="U156" i="4"/>
  <c r="U155" i="4"/>
  <c r="U154" i="4"/>
  <c r="U153" i="4"/>
  <c r="U152" i="4"/>
  <c r="U151" i="4"/>
  <c r="U150" i="4"/>
  <c r="U149" i="4"/>
  <c r="U148" i="4"/>
  <c r="U147" i="4"/>
  <c r="U146" i="4"/>
  <c r="U145" i="4"/>
  <c r="U144" i="4"/>
  <c r="U143" i="4"/>
  <c r="U142" i="4"/>
  <c r="U141" i="4"/>
  <c r="U140" i="4"/>
  <c r="U139" i="4"/>
  <c r="U138" i="4"/>
  <c r="U137" i="4"/>
  <c r="U136" i="4"/>
  <c r="U135" i="4"/>
  <c r="U134" i="4"/>
  <c r="U133" i="4"/>
  <c r="U132" i="4"/>
  <c r="U131" i="4"/>
  <c r="U130" i="4"/>
  <c r="U129" i="4"/>
  <c r="U128" i="4"/>
  <c r="U127" i="4"/>
  <c r="U126" i="4"/>
  <c r="U125" i="4"/>
  <c r="U124" i="4"/>
  <c r="U123" i="4"/>
  <c r="U122" i="4"/>
  <c r="U121" i="4"/>
  <c r="U120" i="4"/>
  <c r="U119" i="4"/>
  <c r="U118" i="4"/>
  <c r="U117" i="4"/>
  <c r="U116" i="4"/>
  <c r="U115" i="4"/>
  <c r="U114" i="4"/>
  <c r="U113" i="4"/>
  <c r="U112" i="4"/>
  <c r="U111" i="4"/>
  <c r="U110" i="4"/>
  <c r="U109" i="4"/>
  <c r="U108" i="4"/>
  <c r="U107" i="4"/>
  <c r="U106" i="4"/>
  <c r="U105" i="4"/>
  <c r="U104" i="4"/>
  <c r="U103" i="4"/>
  <c r="U102" i="4"/>
  <c r="U101" i="4"/>
  <c r="U100" i="4"/>
  <c r="U99" i="4"/>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S178" i="4"/>
  <c r="S177" i="4"/>
  <c r="S176" i="4"/>
  <c r="S175" i="4"/>
  <c r="S174" i="4"/>
  <c r="S173" i="4"/>
  <c r="S172" i="4"/>
  <c r="S171" i="4"/>
  <c r="S170" i="4"/>
  <c r="S169" i="4"/>
  <c r="S168" i="4"/>
  <c r="S167" i="4"/>
  <c r="S166" i="4"/>
  <c r="S165" i="4"/>
  <c r="S164" i="4"/>
  <c r="S163" i="4"/>
  <c r="S162" i="4"/>
  <c r="S161" i="4"/>
  <c r="S160" i="4"/>
  <c r="S159" i="4"/>
  <c r="S158" i="4"/>
  <c r="S157" i="4"/>
  <c r="S156" i="4"/>
  <c r="S155" i="4"/>
  <c r="S154" i="4"/>
  <c r="S153" i="4"/>
  <c r="S152" i="4"/>
  <c r="S151" i="4"/>
  <c r="S150" i="4"/>
  <c r="S149" i="4"/>
  <c r="S148" i="4"/>
  <c r="S147" i="4"/>
  <c r="S146" i="4"/>
  <c r="S145" i="4"/>
  <c r="S144" i="4"/>
  <c r="S143" i="4"/>
  <c r="S142" i="4"/>
  <c r="S141" i="4"/>
  <c r="S140" i="4"/>
  <c r="S139" i="4"/>
  <c r="S138" i="4"/>
  <c r="S137" i="4"/>
  <c r="S136" i="4"/>
  <c r="S135" i="4"/>
  <c r="S134" i="4"/>
  <c r="S133" i="4"/>
  <c r="S132" i="4"/>
  <c r="S131" i="4"/>
  <c r="S130" i="4"/>
  <c r="S129" i="4"/>
  <c r="S128" i="4"/>
  <c r="S127" i="4"/>
  <c r="S126" i="4"/>
  <c r="S125" i="4"/>
  <c r="S124" i="4"/>
  <c r="S123" i="4"/>
  <c r="S122" i="4"/>
  <c r="S121" i="4"/>
  <c r="S120" i="4"/>
  <c r="S119" i="4"/>
  <c r="S118" i="4"/>
  <c r="S117" i="4"/>
  <c r="S116" i="4"/>
  <c r="S115" i="4"/>
  <c r="S114" i="4"/>
  <c r="S113" i="4"/>
  <c r="S112" i="4"/>
  <c r="S111" i="4"/>
  <c r="S110" i="4"/>
  <c r="S109" i="4"/>
  <c r="S108" i="4"/>
  <c r="S107" i="4"/>
  <c r="S106" i="4"/>
  <c r="S105" i="4"/>
  <c r="S104" i="4"/>
  <c r="S103" i="4"/>
  <c r="S102" i="4"/>
  <c r="S101" i="4"/>
  <c r="S100" i="4"/>
  <c r="S99" i="4"/>
  <c r="S98" i="4"/>
  <c r="S97" i="4"/>
  <c r="S96" i="4"/>
  <c r="S95" i="4"/>
  <c r="S94" i="4"/>
  <c r="S93" i="4"/>
  <c r="S92" i="4"/>
  <c r="S91" i="4"/>
  <c r="S90" i="4"/>
  <c r="S89" i="4"/>
  <c r="S88" i="4"/>
  <c r="S87" i="4"/>
  <c r="S86" i="4"/>
  <c r="S85" i="4"/>
  <c r="S84" i="4"/>
  <c r="S83" i="4"/>
  <c r="S82" i="4"/>
  <c r="S81" i="4"/>
  <c r="S80" i="4"/>
  <c r="S79" i="4"/>
  <c r="S78" i="4"/>
  <c r="S77" i="4"/>
  <c r="S76" i="4"/>
  <c r="S75" i="4"/>
  <c r="S74" i="4"/>
  <c r="S73" i="4"/>
  <c r="S72" i="4"/>
  <c r="S71" i="4"/>
  <c r="S70" i="4"/>
  <c r="S69" i="4"/>
  <c r="S68" i="4"/>
  <c r="S67" i="4"/>
  <c r="S66" i="4"/>
  <c r="S65" i="4"/>
  <c r="S64" i="4"/>
  <c r="S63" i="4"/>
  <c r="S62" i="4"/>
  <c r="S61" i="4"/>
  <c r="S60" i="4"/>
  <c r="S59" i="4"/>
  <c r="S58" i="4"/>
  <c r="S57" i="4"/>
  <c r="S56" i="4"/>
  <c r="S55" i="4"/>
  <c r="S54" i="4"/>
  <c r="S53" i="4"/>
  <c r="S52" i="4"/>
  <c r="S51" i="4"/>
  <c r="S50" i="4"/>
  <c r="S49" i="4"/>
  <c r="S48" i="4"/>
  <c r="S47" i="4"/>
  <c r="S46" i="4"/>
  <c r="S45" i="4"/>
  <c r="S44" i="4"/>
  <c r="S43" i="4"/>
  <c r="S42" i="4"/>
  <c r="S41" i="4"/>
  <c r="S40" i="4"/>
  <c r="S39" i="4"/>
  <c r="S38" i="4"/>
  <c r="S37" i="4"/>
  <c r="S36" i="4"/>
  <c r="S35" i="4"/>
  <c r="S34" i="4"/>
  <c r="S33" i="4"/>
  <c r="S32" i="4"/>
  <c r="S31" i="4"/>
  <c r="S30" i="4"/>
  <c r="S29" i="4"/>
  <c r="S28" i="4"/>
  <c r="S27" i="4"/>
  <c r="S26" i="4"/>
  <c r="S25" i="4"/>
  <c r="S24" i="4"/>
  <c r="S23" i="4"/>
  <c r="S22" i="4"/>
  <c r="J12" i="4" s="1"/>
  <c r="I20" i="3" s="1"/>
  <c r="Q178" i="4"/>
  <c r="Q177" i="4"/>
  <c r="Q176" i="4"/>
  <c r="Q175" i="4"/>
  <c r="Q174" i="4"/>
  <c r="Q173" i="4"/>
  <c r="Q172" i="4"/>
  <c r="Q171" i="4"/>
  <c r="Q170" i="4"/>
  <c r="Q169" i="4"/>
  <c r="Q168" i="4"/>
  <c r="Q167" i="4"/>
  <c r="Q166" i="4"/>
  <c r="Q165" i="4"/>
  <c r="Q164" i="4"/>
  <c r="Q163" i="4"/>
  <c r="Q162" i="4"/>
  <c r="Q161" i="4"/>
  <c r="Q160" i="4"/>
  <c r="Q159" i="4"/>
  <c r="Q158" i="4"/>
  <c r="Q157" i="4"/>
  <c r="Q156" i="4"/>
  <c r="Q155" i="4"/>
  <c r="Q154" i="4"/>
  <c r="Q153" i="4"/>
  <c r="Q152" i="4"/>
  <c r="Q151" i="4"/>
  <c r="Q150" i="4"/>
  <c r="Q149" i="4"/>
  <c r="Q148" i="4"/>
  <c r="Q147" i="4"/>
  <c r="Q146" i="4"/>
  <c r="Q145" i="4"/>
  <c r="Q144" i="4"/>
  <c r="Q143" i="4"/>
  <c r="Q142" i="4"/>
  <c r="Q141" i="4"/>
  <c r="Q140" i="4"/>
  <c r="Q139" i="4"/>
  <c r="Q138" i="4"/>
  <c r="Q137" i="4"/>
  <c r="Q136" i="4"/>
  <c r="Q135" i="4"/>
  <c r="Q134" i="4"/>
  <c r="Q133" i="4"/>
  <c r="Q132" i="4"/>
  <c r="Q131" i="4"/>
  <c r="Q130" i="4"/>
  <c r="Q129" i="4"/>
  <c r="Q128" i="4"/>
  <c r="Q127" i="4"/>
  <c r="Q126" i="4"/>
  <c r="Q125" i="4"/>
  <c r="Q124" i="4"/>
  <c r="Q123" i="4"/>
  <c r="Q122" i="4"/>
  <c r="Q121" i="4"/>
  <c r="Q120" i="4"/>
  <c r="Q119" i="4"/>
  <c r="Q118" i="4"/>
  <c r="Q117" i="4"/>
  <c r="Q116" i="4"/>
  <c r="Q115" i="4"/>
  <c r="Q114" i="4"/>
  <c r="Q113" i="4"/>
  <c r="Q112" i="4"/>
  <c r="Q111" i="4"/>
  <c r="Q110" i="4"/>
  <c r="Q109" i="4"/>
  <c r="Q108" i="4"/>
  <c r="Q107" i="4"/>
  <c r="Q106" i="4"/>
  <c r="Q105" i="4"/>
  <c r="Q104" i="4"/>
  <c r="Q103" i="4"/>
  <c r="Q102" i="4"/>
  <c r="Q101" i="4"/>
  <c r="Q100" i="4"/>
  <c r="Q99" i="4"/>
  <c r="Q98" i="4"/>
  <c r="Q97" i="4"/>
  <c r="Q96" i="4"/>
  <c r="Q95" i="4"/>
  <c r="Q94" i="4"/>
  <c r="Q93" i="4"/>
  <c r="Q92" i="4"/>
  <c r="Q91" i="4"/>
  <c r="Q90" i="4"/>
  <c r="Q89" i="4"/>
  <c r="Q88" i="4"/>
  <c r="Q87" i="4"/>
  <c r="Q86" i="4"/>
  <c r="Q85" i="4"/>
  <c r="Q84" i="4"/>
  <c r="Q83" i="4"/>
  <c r="Q82" i="4"/>
  <c r="Q81" i="4"/>
  <c r="Q80" i="4"/>
  <c r="Q79" i="4"/>
  <c r="Q78" i="4"/>
  <c r="Q77" i="4"/>
  <c r="Q76" i="4"/>
  <c r="Q75" i="4"/>
  <c r="Q74" i="4"/>
  <c r="Q73" i="4"/>
  <c r="Q72" i="4"/>
  <c r="Q71" i="4"/>
  <c r="Q70" i="4"/>
  <c r="Q69" i="4"/>
  <c r="Q68" i="4"/>
  <c r="Q67" i="4"/>
  <c r="Q66" i="4"/>
  <c r="Q65" i="4"/>
  <c r="Q64" i="4"/>
  <c r="Q63" i="4"/>
  <c r="Q62" i="4"/>
  <c r="Q61" i="4"/>
  <c r="Q60" i="4"/>
  <c r="Q59" i="4"/>
  <c r="Q58" i="4"/>
  <c r="Q57" i="4"/>
  <c r="Q56" i="4"/>
  <c r="Q55" i="4"/>
  <c r="Q54" i="4"/>
  <c r="Q53" i="4"/>
  <c r="Q52" i="4"/>
  <c r="Q51" i="4"/>
  <c r="Q50" i="4"/>
  <c r="Q49" i="4"/>
  <c r="Q48" i="4"/>
  <c r="Q47" i="4"/>
  <c r="Q46" i="4"/>
  <c r="Q45" i="4"/>
  <c r="Q44" i="4"/>
  <c r="Q43" i="4"/>
  <c r="Q42" i="4"/>
  <c r="Q41" i="4"/>
  <c r="Q40" i="4"/>
  <c r="Q39" i="4"/>
  <c r="Q38" i="4"/>
  <c r="Q37" i="4"/>
  <c r="Q36" i="4"/>
  <c r="Q35" i="4"/>
  <c r="Q34" i="4"/>
  <c r="Q33" i="4"/>
  <c r="Q32" i="4"/>
  <c r="Q31" i="4"/>
  <c r="Q30" i="4"/>
  <c r="Q29" i="4"/>
  <c r="Q28" i="4"/>
  <c r="Q27" i="4"/>
  <c r="Q26" i="4"/>
  <c r="Q25" i="4"/>
  <c r="Q24" i="4"/>
  <c r="Q23" i="4"/>
  <c r="Q22" i="4"/>
  <c r="J11" i="4" s="1"/>
  <c r="I19" i="3" s="1"/>
  <c r="O178" i="4"/>
  <c r="O177" i="4"/>
  <c r="O176" i="4"/>
  <c r="O175" i="4"/>
  <c r="O174" i="4"/>
  <c r="O173" i="4"/>
  <c r="O172" i="4"/>
  <c r="O171" i="4"/>
  <c r="O170" i="4"/>
  <c r="O169" i="4"/>
  <c r="O168" i="4"/>
  <c r="O167" i="4"/>
  <c r="O166" i="4"/>
  <c r="O165" i="4"/>
  <c r="O164" i="4"/>
  <c r="O163" i="4"/>
  <c r="O162" i="4"/>
  <c r="O161" i="4"/>
  <c r="O160"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90" i="4"/>
  <c r="O89" i="4"/>
  <c r="O88" i="4"/>
  <c r="O87" i="4"/>
  <c r="O86" i="4"/>
  <c r="O85" i="4"/>
  <c r="O84" i="4"/>
  <c r="O83" i="4"/>
  <c r="O82"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I10" i="4" s="1"/>
  <c r="C18" i="3" s="1"/>
  <c r="O23" i="4"/>
  <c r="O22" i="4"/>
  <c r="J10" i="4" s="1"/>
  <c r="I18" i="3" s="1"/>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J9" i="4" s="1"/>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J8" i="4" s="1"/>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J7" i="4" s="1"/>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J6" i="4" s="1"/>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I5" i="4" s="1"/>
  <c r="C17" i="3" s="1"/>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22" i="4"/>
  <c r="J4" i="4" s="1"/>
  <c r="P66" i="6"/>
  <c r="F39" i="5"/>
  <c r="G39" i="5" s="1"/>
  <c r="H39" i="5" s="1"/>
  <c r="I39" i="5" s="1"/>
  <c r="J39" i="5" s="1"/>
  <c r="F38" i="5"/>
  <c r="G38" i="5" s="1"/>
  <c r="H38" i="5" s="1"/>
  <c r="I38" i="5" s="1"/>
  <c r="J38" i="5" s="1"/>
  <c r="F35" i="5"/>
  <c r="G35" i="5" s="1"/>
  <c r="H35" i="5" s="1"/>
  <c r="I35" i="5" s="1"/>
  <c r="J35" i="5" s="1"/>
  <c r="F29" i="5"/>
  <c r="G29" i="5" s="1"/>
  <c r="H29" i="5" s="1"/>
  <c r="I29" i="5" s="1"/>
  <c r="J29" i="5" s="1"/>
  <c r="F28" i="5"/>
  <c r="G28" i="5" s="1"/>
  <c r="H28" i="5" s="1"/>
  <c r="I28" i="5" s="1"/>
  <c r="J28" i="5" s="1"/>
  <c r="B65" i="24"/>
  <c r="G19" i="5"/>
  <c r="H19" i="5"/>
  <c r="I19" i="5" s="1"/>
  <c r="J19" i="5" s="1"/>
  <c r="F19" i="5"/>
  <c r="F18" i="5"/>
  <c r="G18" i="5" s="1"/>
  <c r="H18" i="5" s="1"/>
  <c r="I18" i="5" s="1"/>
  <c r="J18" i="5" s="1"/>
  <c r="G17" i="5"/>
  <c r="H17" i="5" s="1"/>
  <c r="I17" i="5" s="1"/>
  <c r="J17" i="5" s="1"/>
  <c r="F17" i="5"/>
  <c r="F16" i="5"/>
  <c r="G16" i="5" s="1"/>
  <c r="H16" i="5" s="1"/>
  <c r="I16" i="5" s="1"/>
  <c r="J16" i="5" s="1"/>
  <c r="F15" i="5"/>
  <c r="G15" i="5" s="1"/>
  <c r="H15" i="5" s="1"/>
  <c r="I15" i="5" s="1"/>
  <c r="J15" i="5" s="1"/>
  <c r="F6" i="5"/>
  <c r="G6" i="5" s="1"/>
  <c r="H6" i="5" s="1"/>
  <c r="I6" i="5" s="1"/>
  <c r="J6" i="5" s="1"/>
  <c r="B34" i="22"/>
  <c r="I37" i="24"/>
  <c r="B7" i="24"/>
  <c r="C76" i="5"/>
  <c r="D76" i="5"/>
  <c r="E76" i="5"/>
  <c r="C78" i="5"/>
  <c r="D78" i="5"/>
  <c r="E78" i="5"/>
  <c r="C80" i="5"/>
  <c r="D80" i="5"/>
  <c r="E80" i="5"/>
  <c r="B80" i="5"/>
  <c r="B78" i="5"/>
  <c r="B76" i="5"/>
  <c r="I48" i="6"/>
  <c r="J48" i="6" s="1"/>
  <c r="K48" i="6" s="1"/>
  <c r="K43" i="21"/>
  <c r="K37" i="21"/>
  <c r="K31" i="21"/>
  <c r="K25" i="21"/>
  <c r="K19" i="21"/>
  <c r="I6" i="4" l="1"/>
  <c r="J5" i="4"/>
  <c r="I17" i="3" s="1"/>
  <c r="I7" i="4"/>
  <c r="L28" i="2"/>
  <c r="I8" i="4"/>
  <c r="I11" i="4"/>
  <c r="C19" i="3" s="1"/>
  <c r="I4" i="4"/>
  <c r="C25" i="3" s="1"/>
  <c r="H25" i="3" s="1"/>
  <c r="I12" i="4"/>
  <c r="C20" i="3" s="1"/>
  <c r="L48" i="6"/>
  <c r="M28" i="2" l="1"/>
  <c r="L42" i="2"/>
  <c r="M48" i="6"/>
  <c r="B2" i="2"/>
  <c r="B2" i="3"/>
  <c r="A2" i="5"/>
  <c r="A2" i="24"/>
  <c r="A2" i="22"/>
  <c r="A2" i="23"/>
  <c r="A2" i="21"/>
  <c r="F37" i="24"/>
  <c r="C28" i="23"/>
  <c r="D28" i="23"/>
  <c r="E28" i="23"/>
  <c r="G24" i="23" s="1"/>
  <c r="G26" i="23" s="1"/>
  <c r="B28" i="23"/>
  <c r="C9" i="23"/>
  <c r="D5" i="23" s="1"/>
  <c r="D9" i="23"/>
  <c r="E5" i="23" s="1"/>
  <c r="E9" i="23"/>
  <c r="G5" i="23" s="1"/>
  <c r="B9" i="23"/>
  <c r="C5" i="23" s="1"/>
  <c r="N28" i="2" l="1"/>
  <c r="M42" i="2"/>
  <c r="N48" i="6"/>
  <c r="C7" i="3"/>
  <c r="O28" i="2" l="1"/>
  <c r="N42" i="2"/>
  <c r="C54" i="3"/>
  <c r="E54" i="3"/>
  <c r="F54" i="3" s="1"/>
  <c r="C53" i="3"/>
  <c r="C52" i="3"/>
  <c r="E53" i="3"/>
  <c r="F53" i="3" s="1"/>
  <c r="E52" i="3"/>
  <c r="F52" i="3" s="1"/>
  <c r="E48" i="3"/>
  <c r="F48" i="3" s="1"/>
  <c r="E49" i="3"/>
  <c r="F49" i="3" s="1"/>
  <c r="E47" i="3"/>
  <c r="F47" i="3" s="1"/>
  <c r="C44" i="3"/>
  <c r="E44" i="3"/>
  <c r="F44" i="3" s="1"/>
  <c r="C43" i="3"/>
  <c r="E43" i="3"/>
  <c r="F43" i="3" s="1"/>
  <c r="C42" i="3"/>
  <c r="E42" i="3"/>
  <c r="F42" i="3" s="1"/>
  <c r="C39" i="3"/>
  <c r="E39" i="3"/>
  <c r="F39" i="3" s="1"/>
  <c r="C38" i="3"/>
  <c r="E38" i="3"/>
  <c r="F38" i="3" s="1"/>
  <c r="C37" i="3"/>
  <c r="E37" i="3"/>
  <c r="F37" i="3" s="1"/>
  <c r="C34" i="3"/>
  <c r="E34" i="3"/>
  <c r="F34" i="3" s="1"/>
  <c r="C33" i="3"/>
  <c r="E33" i="3"/>
  <c r="F33" i="3" s="1"/>
  <c r="E32" i="3"/>
  <c r="F32" i="3" s="1"/>
  <c r="C32" i="3"/>
  <c r="D24" i="3" l="1"/>
  <c r="P28" i="2"/>
  <c r="O42" i="2"/>
  <c r="D19" i="3"/>
  <c r="E19" i="3" s="1"/>
  <c r="G19" i="3" s="1"/>
  <c r="D17" i="3"/>
  <c r="E17" i="3" s="1"/>
  <c r="G17" i="3" s="1"/>
  <c r="D18" i="3"/>
  <c r="E18" i="3" s="1"/>
  <c r="G18" i="3" s="1"/>
  <c r="D20" i="3"/>
  <c r="E20" i="3" s="1"/>
  <c r="G20" i="3" s="1"/>
  <c r="B20" i="3"/>
  <c r="B46" i="3" s="1"/>
  <c r="B19" i="3"/>
  <c r="B41" i="3" s="1"/>
  <c r="B18" i="3"/>
  <c r="B36" i="3" s="1"/>
  <c r="B17" i="3"/>
  <c r="B31" i="3" s="1"/>
  <c r="Q28" i="2" l="1"/>
  <c r="P42" i="2"/>
  <c r="E24" i="3"/>
  <c r="K6" i="3"/>
  <c r="N6" i="3" s="1"/>
  <c r="D25" i="3"/>
  <c r="G21" i="3"/>
  <c r="G24" i="3" s="1"/>
  <c r="H24" i="3" s="1"/>
  <c r="D7" i="3" s="1"/>
  <c r="D10" i="3" s="1"/>
  <c r="M7" i="3" s="1"/>
  <c r="E7" i="2"/>
  <c r="F7" i="2"/>
  <c r="G7" i="2"/>
  <c r="E8" i="2"/>
  <c r="E20" i="2" s="1"/>
  <c r="E21" i="2" s="1"/>
  <c r="F8" i="2"/>
  <c r="F20" i="2" s="1"/>
  <c r="F21" i="2" s="1"/>
  <c r="G8" i="2"/>
  <c r="G20" i="2" s="1"/>
  <c r="G21" i="2" s="1"/>
  <c r="D8" i="2"/>
  <c r="D20" i="2" s="1"/>
  <c r="D21" i="2" s="1"/>
  <c r="D7" i="2"/>
  <c r="C8" i="2"/>
  <c r="C7" i="2"/>
  <c r="C23" i="23"/>
  <c r="D23" i="23"/>
  <c r="E23" i="23"/>
  <c r="I3" i="23"/>
  <c r="I22" i="23" s="1"/>
  <c r="J3" i="23"/>
  <c r="J22" i="23" s="1"/>
  <c r="K3" i="23"/>
  <c r="K22" i="23" s="1"/>
  <c r="I4" i="23"/>
  <c r="I23" i="23" s="1"/>
  <c r="J4" i="23"/>
  <c r="J23" i="23" s="1"/>
  <c r="K4" i="23"/>
  <c r="K23" i="23" s="1"/>
  <c r="H4" i="23"/>
  <c r="H23" i="23" s="1"/>
  <c r="H3" i="23"/>
  <c r="H22" i="23" s="1"/>
  <c r="G4" i="23"/>
  <c r="G23" i="23" s="1"/>
  <c r="G3" i="23"/>
  <c r="G22" i="23" s="1"/>
  <c r="B4" i="23"/>
  <c r="B23" i="23" s="1"/>
  <c r="C3" i="23"/>
  <c r="C22" i="23" s="1"/>
  <c r="D3" i="23"/>
  <c r="D22" i="23" s="1"/>
  <c r="E3" i="23"/>
  <c r="E22" i="23" s="1"/>
  <c r="B3" i="23"/>
  <c r="B22" i="23" s="1"/>
  <c r="D4" i="22"/>
  <c r="D4" i="24" s="1"/>
  <c r="E4" i="22"/>
  <c r="E4" i="24" s="1"/>
  <c r="F4" i="22"/>
  <c r="F4" i="24" s="1"/>
  <c r="C4" i="22"/>
  <c r="C4" i="24" s="1"/>
  <c r="D3" i="22"/>
  <c r="D3" i="24" s="1"/>
  <c r="E3" i="22"/>
  <c r="E3" i="24" s="1"/>
  <c r="F3" i="22"/>
  <c r="F3" i="24" s="1"/>
  <c r="C3" i="22"/>
  <c r="C3" i="24" s="1"/>
  <c r="B4" i="22"/>
  <c r="B4" i="24" s="1"/>
  <c r="B3" i="22"/>
  <c r="B3" i="24" s="1"/>
  <c r="G3" i="5"/>
  <c r="H3" i="5"/>
  <c r="I3" i="5"/>
  <c r="J3" i="5"/>
  <c r="F3" i="5"/>
  <c r="C3" i="5"/>
  <c r="D3" i="5"/>
  <c r="E3" i="5"/>
  <c r="B3" i="5"/>
  <c r="N3" i="21"/>
  <c r="O3" i="21"/>
  <c r="P3" i="21"/>
  <c r="Q3" i="21"/>
  <c r="N4" i="21"/>
  <c r="O4" i="21"/>
  <c r="P4" i="21"/>
  <c r="Q4" i="21"/>
  <c r="M4" i="21"/>
  <c r="M3" i="21"/>
  <c r="K4" i="21"/>
  <c r="K3" i="21"/>
  <c r="H4" i="21"/>
  <c r="H3" i="21"/>
  <c r="D4" i="21"/>
  <c r="E4" i="21"/>
  <c r="C4" i="21"/>
  <c r="D3" i="21"/>
  <c r="E3" i="21"/>
  <c r="C3" i="21"/>
  <c r="C20" i="2" l="1"/>
  <c r="C21" i="2" s="1"/>
  <c r="C19" i="2"/>
  <c r="G4" i="24"/>
  <c r="K7" i="3"/>
  <c r="N7" i="3" s="1"/>
  <c r="N8" i="3" s="1"/>
  <c r="A18" i="2" s="1"/>
  <c r="E25" i="3"/>
  <c r="R28" i="2"/>
  <c r="R42" i="2" s="1"/>
  <c r="Q42" i="2"/>
  <c r="F43" i="24"/>
  <c r="Q15" i="24"/>
  <c r="C43" i="24"/>
  <c r="N15" i="24"/>
  <c r="E43" i="24"/>
  <c r="P15" i="24"/>
  <c r="D43" i="24"/>
  <c r="O15" i="24"/>
  <c r="B43" i="24"/>
  <c r="M15" i="24"/>
  <c r="E18" i="24"/>
  <c r="E19" i="24"/>
  <c r="E20" i="24"/>
  <c r="E21" i="24"/>
  <c r="E22" i="24"/>
  <c r="E24" i="24"/>
  <c r="E25" i="24"/>
  <c r="E26" i="24"/>
  <c r="E27" i="24"/>
  <c r="E28" i="24"/>
  <c r="E29" i="24"/>
  <c r="E30" i="24"/>
  <c r="E31" i="24"/>
  <c r="E32" i="24"/>
  <c r="E33" i="24"/>
  <c r="E17" i="24"/>
  <c r="M16" i="24"/>
  <c r="I18" i="24"/>
  <c r="I19" i="24"/>
  <c r="I20" i="24"/>
  <c r="I21" i="24"/>
  <c r="I22" i="24"/>
  <c r="I23" i="24"/>
  <c r="I24" i="24"/>
  <c r="I25" i="24"/>
  <c r="I26" i="24"/>
  <c r="I27" i="24"/>
  <c r="I28" i="24"/>
  <c r="I29" i="24"/>
  <c r="I30" i="24"/>
  <c r="I31" i="24"/>
  <c r="I32" i="24"/>
  <c r="I33" i="24"/>
  <c r="F35" i="24"/>
  <c r="F39" i="24" s="1"/>
  <c r="B44" i="24"/>
  <c r="I17" i="24"/>
  <c r="H35" i="24"/>
  <c r="G35" i="24"/>
  <c r="C23" i="2" l="1"/>
  <c r="G22" i="2"/>
  <c r="F23" i="2"/>
  <c r="D23" i="2"/>
  <c r="G23" i="2"/>
  <c r="E23" i="2"/>
  <c r="D22" i="2"/>
  <c r="E22" i="2"/>
  <c r="F22" i="2"/>
  <c r="C22" i="2"/>
  <c r="M17" i="24"/>
  <c r="B10" i="24"/>
  <c r="I35" i="24"/>
  <c r="I39" i="24" s="1"/>
  <c r="B45" i="24" s="1"/>
  <c r="D23" i="24"/>
  <c r="E23" i="24" s="1"/>
  <c r="E35" i="24" s="1"/>
  <c r="B50" i="24" s="1"/>
  <c r="B52" i="24" s="1"/>
  <c r="B66" i="24" l="1"/>
  <c r="C10" i="24"/>
  <c r="M18" i="24"/>
  <c r="M19" i="24" s="1"/>
  <c r="M20" i="24" s="1"/>
  <c r="M21" i="24" s="1"/>
  <c r="M22" i="24" s="1"/>
  <c r="M23" i="24" s="1"/>
  <c r="M24" i="24" s="1"/>
  <c r="M25" i="24" s="1"/>
  <c r="M26" i="24" s="1"/>
  <c r="M27" i="24" s="1"/>
  <c r="M28" i="24" s="1"/>
  <c r="M29" i="24" s="1"/>
  <c r="M30" i="24" s="1"/>
  <c r="M31" i="24" s="1"/>
  <c r="M32" i="24" s="1"/>
  <c r="M33" i="24" s="1"/>
  <c r="N16" i="24"/>
  <c r="N17" i="24" s="1"/>
  <c r="C44" i="24"/>
  <c r="B27" i="23"/>
  <c r="C27" i="23"/>
  <c r="D27" i="23"/>
  <c r="C24" i="23"/>
  <c r="D24" i="23"/>
  <c r="E24" i="23"/>
  <c r="D10" i="24" l="1"/>
  <c r="C66" i="24"/>
  <c r="N18" i="24"/>
  <c r="N19" i="24" s="1"/>
  <c r="N20" i="24" s="1"/>
  <c r="N21" i="24" s="1"/>
  <c r="N22" i="24" s="1"/>
  <c r="N23" i="24" s="1"/>
  <c r="N24" i="24" s="1"/>
  <c r="N25" i="24" s="1"/>
  <c r="N26" i="24" s="1"/>
  <c r="N27" i="24" s="1"/>
  <c r="N28" i="24" s="1"/>
  <c r="N29" i="24" s="1"/>
  <c r="N30" i="24" s="1"/>
  <c r="N31" i="24" s="1"/>
  <c r="N32" i="24" s="1"/>
  <c r="N33" i="24" s="1"/>
  <c r="M35" i="24"/>
  <c r="I30" i="6" s="1"/>
  <c r="J30" i="6" s="1"/>
  <c r="O16" i="24"/>
  <c r="O17" i="24" s="1"/>
  <c r="D44" i="24"/>
  <c r="B26" i="23"/>
  <c r="B32" i="23" s="1"/>
  <c r="D26" i="23"/>
  <c r="C26" i="23"/>
  <c r="E10" i="24" l="1"/>
  <c r="D66" i="24"/>
  <c r="O18" i="24"/>
  <c r="O19" i="24" s="1"/>
  <c r="O20" i="24" s="1"/>
  <c r="O21" i="24" s="1"/>
  <c r="O22" i="24" s="1"/>
  <c r="O23" i="24" s="1"/>
  <c r="O24" i="24" s="1"/>
  <c r="O25" i="24" s="1"/>
  <c r="O26" i="24" s="1"/>
  <c r="O27" i="24" s="1"/>
  <c r="O28" i="24" s="1"/>
  <c r="O29" i="24" s="1"/>
  <c r="O30" i="24" s="1"/>
  <c r="O31" i="24" s="1"/>
  <c r="O32" i="24" s="1"/>
  <c r="O33" i="24" s="1"/>
  <c r="N35" i="24"/>
  <c r="C25" i="23"/>
  <c r="C32" i="23"/>
  <c r="D25" i="23"/>
  <c r="D32" i="23"/>
  <c r="G32" i="23" s="1"/>
  <c r="G27" i="23" s="1"/>
  <c r="B25" i="23"/>
  <c r="E44" i="24"/>
  <c r="P16" i="24"/>
  <c r="P17" i="24" s="1"/>
  <c r="B65" i="5"/>
  <c r="C65" i="5"/>
  <c r="D65" i="5"/>
  <c r="D70" i="5" s="1"/>
  <c r="D84" i="5" s="1"/>
  <c r="A84" i="5"/>
  <c r="E65" i="5"/>
  <c r="E44" i="6"/>
  <c r="E7" i="6"/>
  <c r="E9" i="6" s="1"/>
  <c r="E16" i="6"/>
  <c r="E17" i="6" s="1"/>
  <c r="E26" i="6"/>
  <c r="E37" i="6"/>
  <c r="E38" i="6" s="1"/>
  <c r="F44" i="6"/>
  <c r="F8" i="6"/>
  <c r="F9" i="6" s="1"/>
  <c r="F10" i="6" s="1"/>
  <c r="F16" i="6"/>
  <c r="F17" i="6" s="1"/>
  <c r="F26" i="6"/>
  <c r="F30" i="6"/>
  <c r="F37" i="6"/>
  <c r="F38" i="6" s="1"/>
  <c r="G44" i="6"/>
  <c r="G8" i="6"/>
  <c r="G9" i="6" s="1"/>
  <c r="G10" i="6" s="1"/>
  <c r="G16" i="6"/>
  <c r="G17" i="6" s="1"/>
  <c r="G25" i="6"/>
  <c r="G26" i="6" s="1"/>
  <c r="G30" i="6"/>
  <c r="G37" i="6"/>
  <c r="G38" i="6" s="1"/>
  <c r="H44" i="6"/>
  <c r="H8" i="6"/>
  <c r="H9" i="6" s="1"/>
  <c r="H16" i="6"/>
  <c r="H17" i="6" s="1"/>
  <c r="H73" i="6" s="1"/>
  <c r="I73" i="6" s="1"/>
  <c r="H26" i="6"/>
  <c r="H37" i="6"/>
  <c r="H38" i="6" s="1"/>
  <c r="B18" i="23"/>
  <c r="B19" i="23"/>
  <c r="C18" i="23"/>
  <c r="C19" i="23"/>
  <c r="D18" i="23"/>
  <c r="D19" i="23"/>
  <c r="H20" i="6"/>
  <c r="E27" i="23" s="1"/>
  <c r="H19" i="6"/>
  <c r="E19" i="23" s="1"/>
  <c r="H11" i="6"/>
  <c r="E18" i="23" s="1"/>
  <c r="A80" i="5"/>
  <c r="A78" i="5"/>
  <c r="A76" i="5"/>
  <c r="B60" i="5"/>
  <c r="B54" i="5"/>
  <c r="B57" i="5"/>
  <c r="C57" i="5"/>
  <c r="D57" i="5"/>
  <c r="E57" i="5"/>
  <c r="C48" i="5"/>
  <c r="D48" i="5"/>
  <c r="E48" i="5"/>
  <c r="B48" i="5"/>
  <c r="C60" i="5"/>
  <c r="B25" i="5"/>
  <c r="B30" i="5" s="1"/>
  <c r="B40" i="5"/>
  <c r="B42" i="5" s="1"/>
  <c r="B11" i="5"/>
  <c r="B20" i="5" s="1"/>
  <c r="D60" i="5"/>
  <c r="D54" i="5"/>
  <c r="E54" i="5"/>
  <c r="C54" i="5"/>
  <c r="E40" i="5"/>
  <c r="E42" i="5" s="1"/>
  <c r="E25" i="5"/>
  <c r="E30" i="5" s="1"/>
  <c r="E11" i="5"/>
  <c r="E20" i="5" s="1"/>
  <c r="D25" i="5"/>
  <c r="D30" i="5" s="1"/>
  <c r="D40" i="5"/>
  <c r="D42" i="5" s="1"/>
  <c r="C25" i="5"/>
  <c r="C30" i="5" s="1"/>
  <c r="C40" i="5"/>
  <c r="C42" i="5" s="1"/>
  <c r="D11" i="5"/>
  <c r="D20" i="5" s="1"/>
  <c r="C11" i="5"/>
  <c r="C20" i="5" s="1"/>
  <c r="J41" i="21"/>
  <c r="K41" i="21" s="1"/>
  <c r="M41" i="21" s="1"/>
  <c r="J35" i="21"/>
  <c r="K35" i="21" s="1"/>
  <c r="M35" i="21" s="1"/>
  <c r="J29" i="21"/>
  <c r="K29" i="21" s="1"/>
  <c r="M29" i="21" s="1"/>
  <c r="J23" i="21"/>
  <c r="K23" i="21" s="1"/>
  <c r="M23" i="21" s="1"/>
  <c r="J17" i="21"/>
  <c r="K17" i="21" s="1"/>
  <c r="M17" i="21" s="1"/>
  <c r="J11" i="21"/>
  <c r="J5" i="21"/>
  <c r="H42" i="21"/>
  <c r="H36" i="21"/>
  <c r="H30" i="21"/>
  <c r="H24" i="21"/>
  <c r="H18" i="21"/>
  <c r="H12" i="21"/>
  <c r="H13" i="21" s="1"/>
  <c r="K13" i="21" s="1"/>
  <c r="H6" i="21"/>
  <c r="H7" i="21" s="1"/>
  <c r="H48" i="21"/>
  <c r="H6" i="6" s="1"/>
  <c r="G48" i="21"/>
  <c r="E30" i="6"/>
  <c r="B34" i="6"/>
  <c r="C34" i="6"/>
  <c r="D34" i="6"/>
  <c r="C13" i="6"/>
  <c r="D6" i="6"/>
  <c r="C48" i="21"/>
  <c r="D48" i="21"/>
  <c r="F6" i="6" s="1"/>
  <c r="E48" i="21"/>
  <c r="G6" i="6" s="1"/>
  <c r="F43" i="21"/>
  <c r="N43" i="21" s="1"/>
  <c r="F37" i="21"/>
  <c r="N37" i="21" s="1"/>
  <c r="F31" i="21"/>
  <c r="N31" i="21" s="1"/>
  <c r="F25" i="21"/>
  <c r="N25" i="21" s="1"/>
  <c r="D42" i="21"/>
  <c r="D36" i="21"/>
  <c r="D30" i="21"/>
  <c r="C15" i="21"/>
  <c r="C9" i="21"/>
  <c r="D45" i="21"/>
  <c r="D39" i="21"/>
  <c r="D33" i="21"/>
  <c r="D27" i="21"/>
  <c r="D18" i="21"/>
  <c r="D19" i="21" s="1"/>
  <c r="D12" i="21"/>
  <c r="D13" i="21" s="1"/>
  <c r="D6" i="21"/>
  <c r="D7" i="21" s="1"/>
  <c r="E45" i="21"/>
  <c r="E39" i="21"/>
  <c r="E33" i="21"/>
  <c r="E27" i="21"/>
  <c r="E21" i="21"/>
  <c r="E6" i="21"/>
  <c r="E7" i="21" s="1"/>
  <c r="E9" i="21" s="1"/>
  <c r="E12" i="21"/>
  <c r="E13" i="21" s="1"/>
  <c r="E15" i="21" s="1"/>
  <c r="E42" i="21"/>
  <c r="E36" i="21"/>
  <c r="E30" i="21"/>
  <c r="C24" i="21"/>
  <c r="D24" i="21"/>
  <c r="E24" i="21"/>
  <c r="C18" i="21"/>
  <c r="E18" i="21"/>
  <c r="F10" i="24" l="1"/>
  <c r="G10" i="24" s="1"/>
  <c r="E66" i="24"/>
  <c r="O35" i="24"/>
  <c r="P18" i="24"/>
  <c r="P19" i="24" s="1"/>
  <c r="P20" i="24" s="1"/>
  <c r="P21" i="24" s="1"/>
  <c r="P22" i="24" s="1"/>
  <c r="P23" i="24" s="1"/>
  <c r="P24" i="24" s="1"/>
  <c r="P25" i="24" s="1"/>
  <c r="P26" i="24" s="1"/>
  <c r="P27" i="24" s="1"/>
  <c r="P28" i="24" s="1"/>
  <c r="P29" i="24" s="1"/>
  <c r="P30" i="24" s="1"/>
  <c r="P31" i="24" s="1"/>
  <c r="P32" i="24" s="1"/>
  <c r="P33" i="24" s="1"/>
  <c r="H9" i="21"/>
  <c r="K7" i="21"/>
  <c r="K11" i="21"/>
  <c r="M11" i="21" s="1"/>
  <c r="E18" i="6"/>
  <c r="E73" i="6"/>
  <c r="N23" i="21"/>
  <c r="O23" i="21" s="1"/>
  <c r="P23" i="21" s="1"/>
  <c r="Q23" i="21" s="1"/>
  <c r="F66" i="6"/>
  <c r="N29" i="21"/>
  <c r="O29" i="21" s="1"/>
  <c r="P29" i="21" s="1"/>
  <c r="Q29" i="21" s="1"/>
  <c r="F18" i="6"/>
  <c r="F64" i="6" s="1"/>
  <c r="F73" i="6"/>
  <c r="N35" i="21"/>
  <c r="O35" i="21" s="1"/>
  <c r="P35" i="21" s="1"/>
  <c r="Q35" i="21" s="1"/>
  <c r="G66" i="6"/>
  <c r="C79" i="5"/>
  <c r="F63" i="6"/>
  <c r="D77" i="5"/>
  <c r="D81" i="5"/>
  <c r="N41" i="21"/>
  <c r="G18" i="6"/>
  <c r="G64" i="6" s="1"/>
  <c r="G73" i="6"/>
  <c r="D85" i="5"/>
  <c r="C77" i="5"/>
  <c r="C81" i="5"/>
  <c r="H66" i="6"/>
  <c r="I66" i="6" s="1"/>
  <c r="G63" i="6"/>
  <c r="D79" i="5"/>
  <c r="E6" i="6"/>
  <c r="C49" i="21"/>
  <c r="K5" i="21"/>
  <c r="I20" i="6"/>
  <c r="J20" i="6" s="1"/>
  <c r="G28" i="23"/>
  <c r="B62" i="5"/>
  <c r="D21" i="21"/>
  <c r="F19" i="21"/>
  <c r="N19" i="21" s="1"/>
  <c r="N17" i="21" s="1"/>
  <c r="O17" i="21" s="1"/>
  <c r="P17" i="21" s="1"/>
  <c r="Q17" i="21" s="1"/>
  <c r="F13" i="21"/>
  <c r="N13" i="21" s="1"/>
  <c r="H15" i="21"/>
  <c r="F7" i="21"/>
  <c r="N7" i="21" s="1"/>
  <c r="D9" i="21"/>
  <c r="H49" i="21"/>
  <c r="J48" i="21"/>
  <c r="D49" i="21"/>
  <c r="D15" i="21"/>
  <c r="E49" i="21"/>
  <c r="D62" i="5"/>
  <c r="E44" i="5"/>
  <c r="E45" i="5" s="1"/>
  <c r="B44" i="5"/>
  <c r="B45" i="5" s="1"/>
  <c r="D44" i="5"/>
  <c r="D45" i="5" s="1"/>
  <c r="F44" i="24"/>
  <c r="Q16" i="24"/>
  <c r="Q17" i="24" s="1"/>
  <c r="E70" i="5"/>
  <c r="D71" i="5"/>
  <c r="C62" i="5"/>
  <c r="C44" i="5"/>
  <c r="C45" i="5" s="1"/>
  <c r="B70" i="5"/>
  <c r="B84" i="5" s="1"/>
  <c r="C70" i="5"/>
  <c r="C84" i="5" s="1"/>
  <c r="C85" i="5" s="1"/>
  <c r="E26" i="23"/>
  <c r="H18" i="6"/>
  <c r="C20" i="23"/>
  <c r="C8" i="23" s="1"/>
  <c r="C7" i="23" s="1"/>
  <c r="E56" i="6"/>
  <c r="E20" i="23"/>
  <c r="E8" i="23" s="1"/>
  <c r="G56" i="6"/>
  <c r="F56" i="6"/>
  <c r="H10" i="6"/>
  <c r="H13" i="6"/>
  <c r="E10" i="6"/>
  <c r="E13" i="6"/>
  <c r="B20" i="23"/>
  <c r="B8" i="23" s="1"/>
  <c r="B7" i="23" s="1"/>
  <c r="F13" i="6"/>
  <c r="F57" i="6" s="1"/>
  <c r="D13" i="6"/>
  <c r="G13" i="6"/>
  <c r="D20" i="23"/>
  <c r="D8" i="23" s="1"/>
  <c r="D7" i="23" s="1"/>
  <c r="H24" i="23" l="1"/>
  <c r="H26" i="23" s="1"/>
  <c r="F14" i="5"/>
  <c r="F66" i="24"/>
  <c r="E64" i="6"/>
  <c r="K64" i="6" s="1"/>
  <c r="Q18" i="24"/>
  <c r="Q19" i="24" s="1"/>
  <c r="Q20" i="24" s="1"/>
  <c r="Q21" i="24" s="1"/>
  <c r="Q22" i="24" s="1"/>
  <c r="Q23" i="24" s="1"/>
  <c r="Q24" i="24" s="1"/>
  <c r="Q25" i="24" s="1"/>
  <c r="Q26" i="24" s="1"/>
  <c r="Q27" i="24" s="1"/>
  <c r="Q28" i="24" s="1"/>
  <c r="Q29" i="24" s="1"/>
  <c r="Q30" i="24" s="1"/>
  <c r="Q31" i="24" s="1"/>
  <c r="Q32" i="24" s="1"/>
  <c r="Q33" i="24" s="1"/>
  <c r="P35" i="24"/>
  <c r="E63" i="6"/>
  <c r="B79" i="5"/>
  <c r="F79" i="5" s="1"/>
  <c r="H64" i="6"/>
  <c r="I64" i="6" s="1"/>
  <c r="B77" i="5"/>
  <c r="F77" i="5" s="1"/>
  <c r="B81" i="5"/>
  <c r="F81" i="5" s="1"/>
  <c r="B85" i="5"/>
  <c r="F85" i="5" s="1"/>
  <c r="D21" i="23"/>
  <c r="E66" i="6"/>
  <c r="K66" i="6" s="1"/>
  <c r="N11" i="21"/>
  <c r="O11" i="21" s="1"/>
  <c r="P11" i="21" s="1"/>
  <c r="Q11" i="21" s="1"/>
  <c r="B21" i="23"/>
  <c r="H63" i="6"/>
  <c r="I63" i="6" s="1"/>
  <c r="K48" i="21"/>
  <c r="I6" i="6" s="1"/>
  <c r="M5" i="21"/>
  <c r="O41" i="21"/>
  <c r="E21" i="23"/>
  <c r="C21" i="23"/>
  <c r="E71" i="5"/>
  <c r="F71" i="5" s="1"/>
  <c r="G71" i="5" s="1"/>
  <c r="H71" i="5" s="1"/>
  <c r="I71" i="5" s="1"/>
  <c r="J71" i="5" s="1"/>
  <c r="E84" i="5"/>
  <c r="B15" i="23"/>
  <c r="B13" i="23"/>
  <c r="E25" i="23"/>
  <c r="E32" i="23"/>
  <c r="D13" i="23"/>
  <c r="D15" i="23"/>
  <c r="H27" i="23"/>
  <c r="K20" i="6" s="1"/>
  <c r="C13" i="23"/>
  <c r="C15" i="23"/>
  <c r="C71" i="5"/>
  <c r="B71" i="5"/>
  <c r="G22" i="6"/>
  <c r="G57" i="6"/>
  <c r="H22" i="6"/>
  <c r="H57" i="6"/>
  <c r="F22" i="6"/>
  <c r="E57" i="6"/>
  <c r="E22" i="6"/>
  <c r="E59" i="6" s="1"/>
  <c r="C6" i="23"/>
  <c r="B6" i="23"/>
  <c r="D6" i="23"/>
  <c r="Q35" i="24" l="1"/>
  <c r="N5" i="21"/>
  <c r="O5" i="21" s="1"/>
  <c r="P5" i="21" s="1"/>
  <c r="Q5" i="21" s="1"/>
  <c r="M48" i="21"/>
  <c r="J6" i="6" s="1"/>
  <c r="B8" i="24" s="1"/>
  <c r="B57" i="24" s="1"/>
  <c r="B61" i="24" s="1"/>
  <c r="I32" i="6" s="1"/>
  <c r="J32" i="6" s="1"/>
  <c r="I10" i="6"/>
  <c r="J10" i="6" s="1"/>
  <c r="F84" i="5" s="1"/>
  <c r="F70" i="5" s="1"/>
  <c r="I26" i="6"/>
  <c r="J26" i="6" s="1"/>
  <c r="I18" i="6"/>
  <c r="J18" i="6" s="1"/>
  <c r="F18" i="23"/>
  <c r="G80" i="5"/>
  <c r="G10" i="5" s="1"/>
  <c r="P41" i="21"/>
  <c r="O48" i="21"/>
  <c r="L6" i="6" s="1"/>
  <c r="H76" i="5" s="1"/>
  <c r="H8" i="5" s="1"/>
  <c r="F78" i="5"/>
  <c r="F9" i="5" s="1"/>
  <c r="N48" i="21"/>
  <c r="K6" i="6" s="1"/>
  <c r="K63" i="6"/>
  <c r="H28" i="23"/>
  <c r="G13" i="23"/>
  <c r="G15" i="23"/>
  <c r="F34" i="6"/>
  <c r="F59" i="6"/>
  <c r="F58" i="6"/>
  <c r="H59" i="6"/>
  <c r="H34" i="6"/>
  <c r="H68" i="6" s="1"/>
  <c r="I68" i="6" s="1"/>
  <c r="C11" i="2" s="1"/>
  <c r="H58" i="6"/>
  <c r="E34" i="6"/>
  <c r="E58" i="6"/>
  <c r="G34" i="6"/>
  <c r="G68" i="6" s="1"/>
  <c r="G59" i="6"/>
  <c r="G58" i="6"/>
  <c r="I24" i="23" l="1"/>
  <c r="I26" i="23" s="1"/>
  <c r="G14" i="5"/>
  <c r="F76" i="5"/>
  <c r="F8" i="5" s="1"/>
  <c r="F80" i="5"/>
  <c r="F10" i="5" s="1"/>
  <c r="F65" i="5"/>
  <c r="F24" i="5" s="1"/>
  <c r="B14" i="22"/>
  <c r="E40" i="6"/>
  <c r="E70" i="6" s="1"/>
  <c r="E68" i="6"/>
  <c r="K68" i="6" s="1"/>
  <c r="H80" i="5"/>
  <c r="H10" i="5" s="1"/>
  <c r="D13" i="22" s="1"/>
  <c r="K18" i="6"/>
  <c r="K26" i="6"/>
  <c r="K10" i="6"/>
  <c r="C8" i="24"/>
  <c r="C57" i="24" s="1"/>
  <c r="C61" i="24" s="1"/>
  <c r="K32" i="6" s="1"/>
  <c r="B13" i="22"/>
  <c r="C13" i="22"/>
  <c r="C11" i="22"/>
  <c r="B11" i="22"/>
  <c r="C15" i="2" s="1"/>
  <c r="B12" i="22"/>
  <c r="G76" i="5"/>
  <c r="G8" i="5" s="1"/>
  <c r="F40" i="6"/>
  <c r="F70" i="6" s="1"/>
  <c r="F68" i="6"/>
  <c r="D8" i="24"/>
  <c r="D57" i="24" s="1"/>
  <c r="D61" i="24" s="1"/>
  <c r="L32" i="6" s="1"/>
  <c r="L18" i="6"/>
  <c r="L26" i="6"/>
  <c r="L10" i="6"/>
  <c r="Q41" i="21"/>
  <c r="Q48" i="21" s="1"/>
  <c r="N6" i="6" s="1"/>
  <c r="K7" i="23" s="1"/>
  <c r="P48" i="21"/>
  <c r="M6" i="6" s="1"/>
  <c r="J7" i="23" s="1"/>
  <c r="G7" i="23"/>
  <c r="H7" i="23"/>
  <c r="I7" i="23"/>
  <c r="I27" i="23"/>
  <c r="L20" i="6" s="1"/>
  <c r="H40" i="6"/>
  <c r="H70" i="6" s="1"/>
  <c r="I70" i="6" s="1"/>
  <c r="F60" i="6"/>
  <c r="F46" i="6"/>
  <c r="F50" i="6" s="1"/>
  <c r="F77" i="6" s="1"/>
  <c r="G40" i="6"/>
  <c r="G70" i="6" s="1"/>
  <c r="E60" i="6"/>
  <c r="D11" i="2" l="1"/>
  <c r="L68" i="6"/>
  <c r="N26" i="6"/>
  <c r="N10" i="6"/>
  <c r="F8" i="24"/>
  <c r="F57" i="24" s="1"/>
  <c r="F61" i="24" s="1"/>
  <c r="N32" i="6" s="1"/>
  <c r="N18" i="6"/>
  <c r="J76" i="5"/>
  <c r="J8" i="5" s="1"/>
  <c r="J80" i="5"/>
  <c r="J10" i="5" s="1"/>
  <c r="K70" i="6"/>
  <c r="M26" i="6"/>
  <c r="M10" i="6"/>
  <c r="E8" i="24"/>
  <c r="E57" i="24" s="1"/>
  <c r="E61" i="24" s="1"/>
  <c r="M32" i="6" s="1"/>
  <c r="M18" i="6"/>
  <c r="I76" i="5"/>
  <c r="I8" i="5" s="1"/>
  <c r="I80" i="5"/>
  <c r="I10" i="5" s="1"/>
  <c r="D11" i="22"/>
  <c r="G78" i="5"/>
  <c r="G9" i="5" s="1"/>
  <c r="G84" i="5"/>
  <c r="G70" i="5" s="1"/>
  <c r="E46" i="6"/>
  <c r="E50" i="6" s="1"/>
  <c r="E77" i="6" s="1"/>
  <c r="H84" i="5"/>
  <c r="H70" i="5" s="1"/>
  <c r="H78" i="5"/>
  <c r="H9" i="5" s="1"/>
  <c r="I28" i="23"/>
  <c r="H8" i="23"/>
  <c r="H20" i="23" s="1"/>
  <c r="G6" i="23"/>
  <c r="B19" i="22" s="1"/>
  <c r="G8" i="23"/>
  <c r="G20" i="23" s="1"/>
  <c r="I8" i="23"/>
  <c r="I20" i="23" s="1"/>
  <c r="J8" i="23"/>
  <c r="J20" i="23" s="1"/>
  <c r="J9" i="23"/>
  <c r="K8" i="23"/>
  <c r="K20" i="23" s="1"/>
  <c r="K18" i="23" s="1"/>
  <c r="H60" i="6"/>
  <c r="H46" i="6"/>
  <c r="H50" i="6" s="1"/>
  <c r="G60" i="6"/>
  <c r="G46" i="6"/>
  <c r="G50" i="6" s="1"/>
  <c r="G77" i="6" s="1"/>
  <c r="J24" i="23" l="1"/>
  <c r="J26" i="23" s="1"/>
  <c r="H14" i="5"/>
  <c r="K5" i="23"/>
  <c r="K6" i="23" s="1"/>
  <c r="F19" i="22" s="1"/>
  <c r="I13" i="5"/>
  <c r="G9" i="23"/>
  <c r="E11" i="2"/>
  <c r="M68" i="6"/>
  <c r="B21" i="22"/>
  <c r="C16" i="2"/>
  <c r="F13" i="22"/>
  <c r="I9" i="23"/>
  <c r="D14" i="22"/>
  <c r="H65" i="5"/>
  <c r="H24" i="5" s="1"/>
  <c r="F11" i="22"/>
  <c r="E11" i="22"/>
  <c r="J77" i="6"/>
  <c r="E13" i="22"/>
  <c r="J78" i="5"/>
  <c r="J9" i="5" s="1"/>
  <c r="J84" i="5"/>
  <c r="J70" i="5" s="1"/>
  <c r="K9" i="23"/>
  <c r="J13" i="5" s="1"/>
  <c r="C14" i="22"/>
  <c r="G65" i="5"/>
  <c r="G24" i="5" s="1"/>
  <c r="I84" i="5"/>
  <c r="I70" i="5" s="1"/>
  <c r="I78" i="5"/>
  <c r="I9" i="5" s="1"/>
  <c r="D12" i="22"/>
  <c r="E15" i="2" s="1"/>
  <c r="C12" i="22"/>
  <c r="D15" i="2" s="1"/>
  <c r="H18" i="23"/>
  <c r="K11" i="6" s="1"/>
  <c r="H19" i="23"/>
  <c r="K19" i="6" s="1"/>
  <c r="K17" i="6" s="1"/>
  <c r="H9" i="23"/>
  <c r="K19" i="23"/>
  <c r="N19" i="6" s="1"/>
  <c r="N11" i="6"/>
  <c r="G18" i="23"/>
  <c r="I11" i="6" s="1"/>
  <c r="G19" i="23"/>
  <c r="I19" i="6" s="1"/>
  <c r="J27" i="23"/>
  <c r="M20" i="6" s="1"/>
  <c r="J18" i="23"/>
  <c r="M11" i="6" s="1"/>
  <c r="J19" i="23"/>
  <c r="M19" i="6" s="1"/>
  <c r="I18" i="23"/>
  <c r="L11" i="6" s="1"/>
  <c r="E7" i="23"/>
  <c r="N68" i="6" l="1"/>
  <c r="G11" i="2" s="1"/>
  <c r="F11" i="2"/>
  <c r="I5" i="23"/>
  <c r="I6" i="23" s="1"/>
  <c r="D19" i="22" s="1"/>
  <c r="G13" i="5"/>
  <c r="H5" i="23"/>
  <c r="H6" i="23" s="1"/>
  <c r="C19" i="22" s="1"/>
  <c r="F13" i="5"/>
  <c r="J5" i="23"/>
  <c r="J6" i="23" s="1"/>
  <c r="E19" i="22" s="1"/>
  <c r="H13" i="5"/>
  <c r="F21" i="22"/>
  <c r="G16" i="2"/>
  <c r="F14" i="22"/>
  <c r="J65" i="5"/>
  <c r="J24" i="5" s="1"/>
  <c r="M17" i="6"/>
  <c r="F12" i="22"/>
  <c r="G15" i="2" s="1"/>
  <c r="E14" i="22"/>
  <c r="I65" i="5"/>
  <c r="I24" i="5" s="1"/>
  <c r="I19" i="23"/>
  <c r="L19" i="6" s="1"/>
  <c r="L17" i="6" s="1"/>
  <c r="E12" i="22"/>
  <c r="F15" i="2" s="1"/>
  <c r="J19" i="6"/>
  <c r="I17" i="6"/>
  <c r="N9" i="6"/>
  <c r="N13" i="6" s="1"/>
  <c r="J11" i="6"/>
  <c r="B8" i="22"/>
  <c r="C14" i="2" s="1"/>
  <c r="I9" i="6"/>
  <c r="E13" i="23"/>
  <c r="E15" i="23"/>
  <c r="L9" i="6"/>
  <c r="L13" i="6" s="1"/>
  <c r="M9" i="6"/>
  <c r="M13" i="6" s="1"/>
  <c r="M22" i="6" s="1"/>
  <c r="F10" i="2" s="1"/>
  <c r="F12" i="2" s="1"/>
  <c r="F13" i="2" s="1"/>
  <c r="E8" i="22"/>
  <c r="F14" i="2" s="1"/>
  <c r="J28" i="23"/>
  <c r="K9" i="6"/>
  <c r="K13" i="6" s="1"/>
  <c r="K22" i="6" s="1"/>
  <c r="D10" i="2" s="1"/>
  <c r="D12" i="2" s="1"/>
  <c r="D13" i="2" s="1"/>
  <c r="C8" i="22"/>
  <c r="D14" i="2" s="1"/>
  <c r="E6" i="23"/>
  <c r="C21" i="22" l="1"/>
  <c r="D16" i="2"/>
  <c r="D8" i="22"/>
  <c r="E14" i="2" s="1"/>
  <c r="L22" i="6"/>
  <c r="E10" i="2" s="1"/>
  <c r="E12" i="2" s="1"/>
  <c r="E13" i="2" s="1"/>
  <c r="D21" i="22"/>
  <c r="E16" i="2"/>
  <c r="D17" i="2"/>
  <c r="D24" i="2" s="1"/>
  <c r="K24" i="23"/>
  <c r="K26" i="23" s="1"/>
  <c r="I14" i="5"/>
  <c r="E21" i="22"/>
  <c r="F16" i="2"/>
  <c r="F17" i="2" s="1"/>
  <c r="F24" i="2" s="1"/>
  <c r="I13" i="6"/>
  <c r="J9" i="6"/>
  <c r="K27" i="23"/>
  <c r="N20" i="6" s="1"/>
  <c r="J17" i="6"/>
  <c r="I72" i="6"/>
  <c r="E17" i="2" l="1"/>
  <c r="E24" i="2" s="1"/>
  <c r="J13" i="6"/>
  <c r="I22" i="6"/>
  <c r="C10" i="2" s="1"/>
  <c r="C12" i="2" s="1"/>
  <c r="C13" i="2" s="1"/>
  <c r="C17" i="2" s="1"/>
  <c r="C24" i="2" s="1"/>
  <c r="N17" i="6"/>
  <c r="N22" i="6" s="1"/>
  <c r="G10" i="2" s="1"/>
  <c r="F8" i="22"/>
  <c r="G14" i="2" s="1"/>
  <c r="K28" i="23"/>
  <c r="J14" i="5" s="1"/>
  <c r="B9" i="22"/>
  <c r="F36" i="5" s="1"/>
  <c r="J72" i="6"/>
  <c r="J73" i="6" s="1"/>
  <c r="K73" i="6" s="1"/>
  <c r="D44" i="2" l="1"/>
  <c r="D45" i="2" s="1"/>
  <c r="D46" i="2" s="1"/>
  <c r="G12" i="2"/>
  <c r="G13" i="2" s="1"/>
  <c r="G17" i="2" s="1"/>
  <c r="I34" i="6"/>
  <c r="J22" i="6"/>
  <c r="K72" i="6"/>
  <c r="C9" i="22" s="1"/>
  <c r="G36" i="5" s="1"/>
  <c r="H36" i="5" s="1"/>
  <c r="I36" i="5" s="1"/>
  <c r="J36" i="5" s="1"/>
  <c r="N72" i="6"/>
  <c r="F9" i="22" s="1"/>
  <c r="M72" i="6"/>
  <c r="E9" i="22" s="1"/>
  <c r="L72" i="6"/>
  <c r="D9" i="22" s="1"/>
  <c r="H17" i="2" l="1"/>
  <c r="D30" i="2" s="1"/>
  <c r="D31" i="2" s="1"/>
  <c r="G24" i="2"/>
  <c r="G26" i="2" s="1"/>
  <c r="J34" i="6"/>
  <c r="I38" i="6"/>
  <c r="J38" i="6" s="1"/>
  <c r="D47" i="2" l="1"/>
  <c r="D49" i="2" s="1"/>
  <c r="D53" i="2" s="1"/>
  <c r="D55" i="2" s="1"/>
  <c r="I42" i="2" s="1"/>
  <c r="D18" i="26"/>
  <c r="D32" i="2"/>
  <c r="C28" i="26" s="1"/>
  <c r="I40" i="6"/>
  <c r="B7" i="22" s="1"/>
  <c r="B16" i="22" s="1"/>
  <c r="I44" i="6"/>
  <c r="J40" i="6"/>
  <c r="D34" i="2" l="1"/>
  <c r="D38" i="2" s="1"/>
  <c r="C27" i="26" s="1"/>
  <c r="D20" i="26"/>
  <c r="J44" i="6"/>
  <c r="F41" i="5"/>
  <c r="I46" i="6"/>
  <c r="D40" i="2" l="1"/>
  <c r="C26" i="26" s="1"/>
  <c r="D21" i="26"/>
  <c r="I50" i="6"/>
  <c r="J46" i="6"/>
  <c r="J50" i="6" s="1"/>
  <c r="J76" i="6" s="1"/>
  <c r="I76" i="6" s="1"/>
  <c r="B24" i="22" s="1"/>
  <c r="F37" i="5" s="1"/>
  <c r="F40" i="5" s="1"/>
  <c r="F42" i="5" s="1"/>
  <c r="I28" i="2" l="1"/>
  <c r="D22" i="26"/>
  <c r="B25" i="22"/>
  <c r="B6" i="24" s="1"/>
  <c r="B9" i="24" s="1"/>
  <c r="B11" i="24" s="1"/>
  <c r="B46" i="24" s="1"/>
  <c r="B47" i="24" l="1"/>
  <c r="B68" i="24" s="1"/>
  <c r="B27" i="22"/>
  <c r="B67" i="24"/>
  <c r="B28" i="22" l="1"/>
  <c r="B31" i="22" s="1"/>
  <c r="B33" i="22" s="1"/>
  <c r="B35" i="22" s="1"/>
  <c r="F5" i="5" s="1"/>
  <c r="C34" i="22" s="1"/>
  <c r="B69" i="24"/>
  <c r="B48" i="24"/>
  <c r="C45" i="24" l="1"/>
  <c r="C52" i="24" s="1"/>
  <c r="K30" i="6" s="1"/>
  <c r="K34" i="6" s="1"/>
  <c r="B72" i="24"/>
  <c r="F23" i="5" s="1"/>
  <c r="F25" i="5" s="1"/>
  <c r="C65" i="24"/>
  <c r="B73" i="24"/>
  <c r="F27" i="5" s="1"/>
  <c r="F11" i="5"/>
  <c r="F20" i="5" s="1"/>
  <c r="C7" i="24"/>
  <c r="F30" i="5" l="1"/>
  <c r="F44" i="5" s="1"/>
  <c r="F45" i="5" s="1"/>
  <c r="K38" i="6"/>
  <c r="K40" i="6" s="1"/>
  <c r="K44" i="6" l="1"/>
  <c r="G41" i="5" s="1"/>
  <c r="C7" i="22"/>
  <c r="C16" i="22" s="1"/>
  <c r="K46" i="6" l="1"/>
  <c r="K50" i="6" l="1"/>
  <c r="K76" i="6" s="1"/>
  <c r="C24" i="22" s="1"/>
  <c r="G37" i="5" s="1"/>
  <c r="G40" i="5" s="1"/>
  <c r="G42" i="5" s="1"/>
  <c r="C25" i="22" l="1"/>
  <c r="C6" i="24" s="1"/>
  <c r="C9" i="24" s="1"/>
  <c r="C11" i="24" s="1"/>
  <c r="C47" i="24" l="1"/>
  <c r="C46" i="24"/>
  <c r="C27" i="22" l="1"/>
  <c r="C48" i="24"/>
  <c r="C67" i="24"/>
  <c r="C69" i="24" s="1"/>
  <c r="C28" i="22"/>
  <c r="C68" i="24"/>
  <c r="D65" i="24" l="1"/>
  <c r="D45" i="24"/>
  <c r="D52" i="24" s="1"/>
  <c r="L30" i="6" s="1"/>
  <c r="L34" i="6" s="1"/>
  <c r="L38" i="6" s="1"/>
  <c r="L40" i="6" s="1"/>
  <c r="C72" i="24"/>
  <c r="G23" i="5" s="1"/>
  <c r="G25" i="5" s="1"/>
  <c r="C31" i="22"/>
  <c r="C33" i="22" s="1"/>
  <c r="C35" i="22" s="1"/>
  <c r="G5" i="5" s="1"/>
  <c r="L44" i="6" l="1"/>
  <c r="D7" i="22"/>
  <c r="D16" i="22" s="1"/>
  <c r="D7" i="24"/>
  <c r="G11" i="5"/>
  <c r="G20" i="5" s="1"/>
  <c r="D34" i="22"/>
  <c r="C73" i="24"/>
  <c r="G27" i="5" s="1"/>
  <c r="G30" i="5" s="1"/>
  <c r="G44" i="5" s="1"/>
  <c r="G45" i="5" s="1"/>
  <c r="L46" i="6" l="1"/>
  <c r="H41" i="5"/>
  <c r="L50" i="6" l="1"/>
  <c r="L76" i="6" s="1"/>
  <c r="D24" i="22" s="1"/>
  <c r="H37" i="5" s="1"/>
  <c r="H40" i="5" s="1"/>
  <c r="H42" i="5" s="1"/>
  <c r="D25" i="22" l="1"/>
  <c r="D6" i="24" s="1"/>
  <c r="D9" i="24" s="1"/>
  <c r="D11" i="24" s="1"/>
  <c r="D46" i="24" l="1"/>
  <c r="D47" i="24"/>
  <c r="D68" i="24" l="1"/>
  <c r="D28" i="22"/>
  <c r="D27" i="22"/>
  <c r="D67" i="24"/>
  <c r="D69" i="24" s="1"/>
  <c r="D48" i="24"/>
  <c r="E45" i="24" l="1"/>
  <c r="E52" i="24" s="1"/>
  <c r="M30" i="6" s="1"/>
  <c r="M34" i="6" s="1"/>
  <c r="M38" i="6" s="1"/>
  <c r="M40" i="6" s="1"/>
  <c r="D72" i="24"/>
  <c r="H23" i="5" s="1"/>
  <c r="H25" i="5" s="1"/>
  <c r="E65" i="24"/>
  <c r="D73" i="24"/>
  <c r="H27" i="5" s="1"/>
  <c r="H30" i="5" s="1"/>
  <c r="H44" i="5" s="1"/>
  <c r="D31" i="22"/>
  <c r="D33" i="22" s="1"/>
  <c r="D35" i="22" s="1"/>
  <c r="H5" i="5" s="1"/>
  <c r="E34" i="22" l="1"/>
  <c r="E7" i="24"/>
  <c r="H11" i="5"/>
  <c r="H20" i="5" s="1"/>
  <c r="H45" i="5" s="1"/>
  <c r="E7" i="22"/>
  <c r="E16" i="22" s="1"/>
  <c r="M44" i="6"/>
  <c r="M46" i="6" l="1"/>
  <c r="I41" i="5"/>
  <c r="M50" i="6" l="1"/>
  <c r="M76" i="6" s="1"/>
  <c r="E24" i="22" s="1"/>
  <c r="I37" i="5" s="1"/>
  <c r="I40" i="5" s="1"/>
  <c r="I42" i="5" s="1"/>
  <c r="E25" i="22" l="1"/>
  <c r="E6" i="24" s="1"/>
  <c r="E9" i="24" s="1"/>
  <c r="E11" i="24" s="1"/>
  <c r="E46" i="24" l="1"/>
  <c r="E47" i="24"/>
  <c r="E28" i="22" l="1"/>
  <c r="E68" i="24"/>
  <c r="E48" i="24"/>
  <c r="E67" i="24"/>
  <c r="E69" i="24" s="1"/>
  <c r="E27" i="22"/>
  <c r="E31" i="22" s="1"/>
  <c r="E33" i="22" s="1"/>
  <c r="E35" i="22" s="1"/>
  <c r="I5" i="5" s="1"/>
  <c r="F7" i="24" l="1"/>
  <c r="I11" i="5"/>
  <c r="I20" i="5" s="1"/>
  <c r="F34" i="22"/>
  <c r="F65" i="24"/>
  <c r="E73" i="24"/>
  <c r="I27" i="5" s="1"/>
  <c r="I30" i="5" s="1"/>
  <c r="I44" i="5" s="1"/>
  <c r="I45" i="5" s="1"/>
  <c r="E72" i="24"/>
  <c r="I23" i="5" s="1"/>
  <c r="I25" i="5" s="1"/>
  <c r="F45" i="24"/>
  <c r="F52" i="24" s="1"/>
  <c r="N30" i="6" s="1"/>
  <c r="N34" i="6" s="1"/>
  <c r="N38" i="6" s="1"/>
  <c r="N40" i="6" s="1"/>
  <c r="N44" i="6" l="1"/>
  <c r="J41" i="5" s="1"/>
  <c r="F7" i="22"/>
  <c r="F16" i="22" s="1"/>
  <c r="N46" i="6" l="1"/>
  <c r="N50" i="6" s="1"/>
  <c r="N76" i="6" s="1"/>
  <c r="F24" i="22" s="1"/>
  <c r="J37" i="5" s="1"/>
  <c r="J40" i="5" s="1"/>
  <c r="J42" i="5" s="1"/>
  <c r="F25" i="22" l="1"/>
  <c r="F6" i="24" s="1"/>
  <c r="F9" i="24" s="1"/>
  <c r="F11" i="24" s="1"/>
  <c r="F46" i="24" l="1"/>
  <c r="F47" i="24"/>
  <c r="F28" i="22" l="1"/>
  <c r="F68" i="24"/>
  <c r="F27" i="22"/>
  <c r="F31" i="22" s="1"/>
  <c r="F33" i="22" s="1"/>
  <c r="F35" i="22" s="1"/>
  <c r="J5" i="5" s="1"/>
  <c r="J11" i="5" s="1"/>
  <c r="J20" i="5" s="1"/>
  <c r="F48" i="24"/>
  <c r="F72" i="24" s="1"/>
  <c r="J23" i="5" s="1"/>
  <c r="J25" i="5" s="1"/>
  <c r="F67" i="24"/>
  <c r="F69" i="24" s="1"/>
  <c r="F73" i="24" s="1"/>
  <c r="J27" i="5" s="1"/>
  <c r="J30" i="5" s="1"/>
  <c r="J44" i="5" s="1"/>
  <c r="J45"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dhruv thakur</author>
  </authors>
  <commentList>
    <comment ref="H11" authorId="0" shapeId="0" xr:uid="{F4916D91-D596-4837-A1D7-DCC3F8FC78EA}">
      <text>
        <r>
          <rPr>
            <b/>
            <sz val="9"/>
            <color indexed="81"/>
            <rFont val="Tahoma"/>
            <family val="2"/>
          </rPr>
          <t>dhruv thakur:</t>
        </r>
        <r>
          <rPr>
            <sz val="9"/>
            <color indexed="81"/>
            <rFont val="Tahoma"/>
            <family val="2"/>
          </rPr>
          <t xml:space="preserve">
Google marginal tax rate in US
</t>
        </r>
      </text>
    </comment>
    <comment ref="C19" authorId="0" shapeId="0" xr:uid="{96E3FEDA-DFBA-48BE-BA9C-0D8E9FC4982D}">
      <text>
        <r>
          <rPr>
            <b/>
            <sz val="9"/>
            <color indexed="81"/>
            <rFont val="Tahoma"/>
            <charset val="1"/>
          </rPr>
          <t>dhruv thakur:</t>
        </r>
        <r>
          <rPr>
            <sz val="9"/>
            <color indexed="81"/>
            <rFont val="Tahoma"/>
            <charset val="1"/>
          </rPr>
          <t xml:space="preserve">
Only Half of cash flow will be projected (assumed that half already exists with the firm)</t>
        </r>
      </text>
    </comment>
    <comment ref="C20" authorId="0" shapeId="0" xr:uid="{B507940D-9FF6-410A-A9C5-47B46A244472}">
      <text>
        <r>
          <rPr>
            <b/>
            <sz val="9"/>
            <color indexed="81"/>
            <rFont val="Tahoma"/>
            <charset val="1"/>
          </rPr>
          <t>dhruv thakur:</t>
        </r>
        <r>
          <rPr>
            <sz val="9"/>
            <color indexed="81"/>
            <rFont val="Tahoma"/>
            <charset val="1"/>
          </rPr>
          <t xml:space="preserve">
How long in years is the CF from the Valuation Date
</t>
        </r>
      </text>
    </comment>
    <comment ref="D30" authorId="0" shapeId="0" xr:uid="{7E722F3E-7D59-4C61-9EE0-024CA40F40B8}">
      <text>
        <r>
          <rPr>
            <b/>
            <sz val="9"/>
            <color indexed="81"/>
            <rFont val="Tahoma"/>
            <family val="2"/>
          </rPr>
          <t>dhruv thakur:</t>
        </r>
        <r>
          <rPr>
            <sz val="9"/>
            <color indexed="81"/>
            <rFont val="Tahoma"/>
            <family val="2"/>
          </rPr>
          <t xml:space="preserve">
CF1 not CF0</t>
        </r>
      </text>
    </comment>
    <comment ref="D39" authorId="0" shapeId="0" xr:uid="{66F9EB95-D18E-4A97-B93D-740287D17924}">
      <text>
        <r>
          <rPr>
            <b/>
            <sz val="9"/>
            <color indexed="81"/>
            <rFont val="Tahoma"/>
            <family val="2"/>
          </rPr>
          <t>dhruv thakur:</t>
        </r>
        <r>
          <rPr>
            <sz val="9"/>
            <color indexed="81"/>
            <rFont val="Tahoma"/>
            <family val="2"/>
          </rPr>
          <t xml:space="preserve">
Latest 10Q</t>
        </r>
      </text>
    </comment>
    <comment ref="D43" authorId="0" shapeId="0" xr:uid="{49EEDFBF-3198-4027-B4FF-92BA7A0DA139}">
      <text>
        <r>
          <rPr>
            <b/>
            <sz val="9"/>
            <color indexed="81"/>
            <rFont val="Tahoma"/>
            <family val="2"/>
          </rPr>
          <t>dhruv thakur:</t>
        </r>
        <r>
          <rPr>
            <sz val="9"/>
            <color indexed="81"/>
            <rFont val="Tahoma"/>
            <family val="2"/>
          </rPr>
          <t xml:space="preserve">
Market Multiple After Industry Research</t>
        </r>
      </text>
    </comment>
    <comment ref="D44" authorId="0" shapeId="0" xr:uid="{40B50147-A053-4668-9F59-67A5F6BC0839}">
      <text>
        <r>
          <rPr>
            <b/>
            <sz val="9"/>
            <color indexed="81"/>
            <rFont val="Tahoma"/>
            <family val="2"/>
          </rPr>
          <t>dhruv thakur:</t>
        </r>
        <r>
          <rPr>
            <sz val="9"/>
            <color indexed="81"/>
            <rFont val="Tahoma"/>
            <family val="2"/>
          </rPr>
          <t xml:space="preserve">
EBIT + D&amp;A</t>
        </r>
      </text>
    </comment>
    <comment ref="D54" authorId="0" shapeId="0" xr:uid="{4B29AA9C-C447-4245-88D5-8AD0A25184FF}">
      <text>
        <r>
          <rPr>
            <b/>
            <sz val="9"/>
            <color indexed="81"/>
            <rFont val="Tahoma"/>
            <family val="2"/>
          </rPr>
          <t>dhruv thakur:</t>
        </r>
        <r>
          <rPr>
            <sz val="9"/>
            <color indexed="81"/>
            <rFont val="Tahoma"/>
            <family val="2"/>
          </rPr>
          <t xml:space="preserve">
Latest 10Q</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dhruv thakur</author>
  </authors>
  <commentList>
    <comment ref="D19" authorId="0" shapeId="0" xr:uid="{5FD5CB0C-1BCE-4870-9FA0-FED1602E0741}">
      <text>
        <r>
          <rPr>
            <b/>
            <sz val="9"/>
            <color indexed="81"/>
            <rFont val="Tahoma"/>
            <charset val="1"/>
          </rPr>
          <t>dhruv thakur:</t>
        </r>
        <r>
          <rPr>
            <sz val="9"/>
            <color indexed="81"/>
            <rFont val="Tahoma"/>
            <charset val="1"/>
          </rPr>
          <t xml:space="preserve">
Long-term growth rate used in terminal value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Manoj Goel</author>
  </authors>
  <commentList>
    <comment ref="D6" authorId="0" shapeId="0" xr:uid="{6CB80DAD-3F40-425A-BDC6-1F081DB99C69}">
      <text>
        <r>
          <rPr>
            <b/>
            <sz val="9"/>
            <color indexed="81"/>
            <rFont val="Tahoma"/>
            <family val="2"/>
          </rPr>
          <t>Manoj Goel:</t>
        </r>
        <r>
          <rPr>
            <sz val="9"/>
            <color indexed="81"/>
            <rFont val="Tahoma"/>
            <family val="2"/>
          </rPr>
          <t xml:space="preserve">
Bloomberg
Average of Yield 
for the period of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The Wall Street School</author>
  </authors>
  <commentList>
    <comment ref="B59" authorId="0" shapeId="0" xr:uid="{141C3020-A98D-4648-935C-80E6BE3FF390}">
      <text>
        <r>
          <rPr>
            <b/>
            <sz val="9"/>
            <color indexed="81"/>
            <rFont val="Tahoma"/>
            <family val="2"/>
          </rPr>
          <t>The Wall Street School:</t>
        </r>
        <r>
          <rPr>
            <sz val="9"/>
            <color indexed="81"/>
            <rFont val="Tahoma"/>
            <family val="2"/>
          </rPr>
          <t xml:space="preserve">
10 Year US Govt Bond Yield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The Wall Street School</author>
  </authors>
  <commentList>
    <comment ref="B49" authorId="0" shapeId="0" xr:uid="{3F442E0C-AABF-4D50-BF34-70261C440853}">
      <text>
        <r>
          <rPr>
            <b/>
            <sz val="9"/>
            <color indexed="81"/>
            <rFont val="Tahoma"/>
            <charset val="1"/>
          </rPr>
          <t>The Wall Street School:</t>
        </r>
        <r>
          <rPr>
            <sz val="9"/>
            <color indexed="81"/>
            <rFont val="Tahoma"/>
            <charset val="1"/>
          </rPr>
          <t xml:space="preserve">
10K Dec 2018, Pg 127</t>
        </r>
      </text>
    </comment>
    <comment ref="C49" authorId="0" shapeId="0" xr:uid="{94A09FFE-B629-4FCC-9B7D-2FF3BDB16D7C}">
      <text>
        <r>
          <rPr>
            <b/>
            <sz val="9"/>
            <color indexed="81"/>
            <rFont val="Tahoma"/>
            <charset val="1"/>
          </rPr>
          <t>The Wall Street School:</t>
        </r>
        <r>
          <rPr>
            <sz val="9"/>
            <color indexed="81"/>
            <rFont val="Tahoma"/>
            <charset val="1"/>
          </rPr>
          <t xml:space="preserve">
10K Dec 2019, Pg 125</t>
        </r>
      </text>
    </comment>
    <comment ref="D49" authorId="0" shapeId="0" xr:uid="{3FEBCD42-D5B2-4E67-8E43-92CC31C91643}">
      <text>
        <r>
          <rPr>
            <b/>
            <sz val="9"/>
            <color indexed="81"/>
            <rFont val="Tahoma"/>
            <charset val="1"/>
          </rPr>
          <t>The Wall Street School:</t>
        </r>
        <r>
          <rPr>
            <sz val="9"/>
            <color indexed="81"/>
            <rFont val="Tahoma"/>
            <charset val="1"/>
          </rPr>
          <t xml:space="preserve">
10K Dec 2019, Pg 125</t>
        </r>
      </text>
    </comment>
    <comment ref="B50" authorId="0" shapeId="0" xr:uid="{9E324812-F803-48BE-8131-DD46BE9EF691}">
      <text>
        <r>
          <rPr>
            <b/>
            <sz val="9"/>
            <color indexed="81"/>
            <rFont val="Tahoma"/>
            <charset val="1"/>
          </rPr>
          <t>The Wall Street School:</t>
        </r>
        <r>
          <rPr>
            <sz val="9"/>
            <color indexed="81"/>
            <rFont val="Tahoma"/>
            <charset val="1"/>
          </rPr>
          <t xml:space="preserve">
10K Dec 2018, Pg 127</t>
        </r>
      </text>
    </comment>
    <comment ref="C50" authorId="0" shapeId="0" xr:uid="{725FEFA5-0BA8-44E5-A11B-4E38EFE07018}">
      <text>
        <r>
          <rPr>
            <b/>
            <sz val="9"/>
            <color indexed="81"/>
            <rFont val="Tahoma"/>
            <charset val="1"/>
          </rPr>
          <t>The Wall Street School:</t>
        </r>
        <r>
          <rPr>
            <sz val="9"/>
            <color indexed="81"/>
            <rFont val="Tahoma"/>
            <charset val="1"/>
          </rPr>
          <t xml:space="preserve">
10K Dec 2019, Pg 125</t>
        </r>
      </text>
    </comment>
    <comment ref="D50" authorId="0" shapeId="0" xr:uid="{3FD72EEF-035D-44A2-8AEA-594C1A85BC30}">
      <text>
        <r>
          <rPr>
            <b/>
            <sz val="9"/>
            <color indexed="81"/>
            <rFont val="Tahoma"/>
            <charset val="1"/>
          </rPr>
          <t>The Wall Street School:</t>
        </r>
        <r>
          <rPr>
            <sz val="9"/>
            <color indexed="81"/>
            <rFont val="Tahoma"/>
            <charset val="1"/>
          </rPr>
          <t xml:space="preserve">
10K Dec 2019, Pg 125</t>
        </r>
      </text>
    </comment>
    <comment ref="B51" authorId="0" shapeId="0" xr:uid="{CCD8B1C9-C54E-4F0C-B8EF-D2C557B33951}">
      <text>
        <r>
          <rPr>
            <b/>
            <sz val="9"/>
            <color indexed="81"/>
            <rFont val="Tahoma"/>
            <charset val="1"/>
          </rPr>
          <t>The Wall Street School:</t>
        </r>
        <r>
          <rPr>
            <sz val="9"/>
            <color indexed="81"/>
            <rFont val="Tahoma"/>
            <charset val="1"/>
          </rPr>
          <t xml:space="preserve">
10K Dec 2018, Pg 127</t>
        </r>
      </text>
    </comment>
    <comment ref="C51" authorId="0" shapeId="0" xr:uid="{5C0135A4-9929-488B-86CD-F0665ACE3F98}">
      <text>
        <r>
          <rPr>
            <b/>
            <sz val="9"/>
            <color indexed="81"/>
            <rFont val="Tahoma"/>
            <charset val="1"/>
          </rPr>
          <t>The Wall Street School:</t>
        </r>
        <r>
          <rPr>
            <sz val="9"/>
            <color indexed="81"/>
            <rFont val="Tahoma"/>
            <charset val="1"/>
          </rPr>
          <t xml:space="preserve">
10K Dec 2019, Pg 125</t>
        </r>
      </text>
    </comment>
    <comment ref="D51" authorId="0" shapeId="0" xr:uid="{D89EE37D-F3EF-4D5C-9941-67A40B311E56}">
      <text>
        <r>
          <rPr>
            <b/>
            <sz val="9"/>
            <color indexed="81"/>
            <rFont val="Tahoma"/>
            <charset val="1"/>
          </rPr>
          <t>The Wall Street School:</t>
        </r>
        <r>
          <rPr>
            <sz val="9"/>
            <color indexed="81"/>
            <rFont val="Tahoma"/>
            <charset val="1"/>
          </rPr>
          <t xml:space="preserve">
10K Dec 2019, Pg 125</t>
        </r>
      </text>
    </comment>
    <comment ref="B52" authorId="0" shapeId="0" xr:uid="{A8C0C1BB-9D72-498B-896E-54C6779027CC}">
      <text>
        <r>
          <rPr>
            <b/>
            <sz val="9"/>
            <color indexed="81"/>
            <rFont val="Tahoma"/>
            <charset val="1"/>
          </rPr>
          <t>The Wall Street School:</t>
        </r>
        <r>
          <rPr>
            <sz val="9"/>
            <color indexed="81"/>
            <rFont val="Tahoma"/>
            <charset val="1"/>
          </rPr>
          <t xml:space="preserve">
10K Dec 2018, Pg 127</t>
        </r>
      </text>
    </comment>
    <comment ref="C52" authorId="0" shapeId="0" xr:uid="{316DB4FF-607B-4805-BAC9-2FBF5DCEA041}">
      <text>
        <r>
          <rPr>
            <b/>
            <sz val="9"/>
            <color indexed="81"/>
            <rFont val="Tahoma"/>
            <charset val="1"/>
          </rPr>
          <t>The Wall Street School:</t>
        </r>
        <r>
          <rPr>
            <sz val="9"/>
            <color indexed="81"/>
            <rFont val="Tahoma"/>
            <charset val="1"/>
          </rPr>
          <t xml:space="preserve">
10K Dec 2019, Pg 125</t>
        </r>
      </text>
    </comment>
    <comment ref="D52" authorId="0" shapeId="0" xr:uid="{FC1DCD8C-7DF0-4A46-B4F0-E206669387E9}">
      <text>
        <r>
          <rPr>
            <b/>
            <sz val="9"/>
            <color indexed="81"/>
            <rFont val="Tahoma"/>
            <charset val="1"/>
          </rPr>
          <t>The Wall Street School:</t>
        </r>
        <r>
          <rPr>
            <sz val="9"/>
            <color indexed="81"/>
            <rFont val="Tahoma"/>
            <charset val="1"/>
          </rPr>
          <t xml:space="preserve">
10K Dec 2019, Pg 125</t>
        </r>
      </text>
    </comment>
    <comment ref="B53" authorId="0" shapeId="0" xr:uid="{E175E866-E584-4189-A686-E30FD7D1D9B5}">
      <text>
        <r>
          <rPr>
            <b/>
            <sz val="9"/>
            <color indexed="81"/>
            <rFont val="Tahoma"/>
            <charset val="1"/>
          </rPr>
          <t>The Wall Street School:</t>
        </r>
        <r>
          <rPr>
            <sz val="9"/>
            <color indexed="81"/>
            <rFont val="Tahoma"/>
            <charset val="1"/>
          </rPr>
          <t xml:space="preserve">
10K Dec 2018, Pg 127</t>
        </r>
      </text>
    </comment>
    <comment ref="C53" authorId="0" shapeId="0" xr:uid="{763E1977-D6C5-4E7B-9712-56C7145EA74B}">
      <text>
        <r>
          <rPr>
            <b/>
            <sz val="9"/>
            <color indexed="81"/>
            <rFont val="Tahoma"/>
            <charset val="1"/>
          </rPr>
          <t>The Wall Street School:</t>
        </r>
        <r>
          <rPr>
            <sz val="9"/>
            <color indexed="81"/>
            <rFont val="Tahoma"/>
            <charset val="1"/>
          </rPr>
          <t xml:space="preserve">
10K Dec 2019, Pg 125</t>
        </r>
      </text>
    </comment>
    <comment ref="D53" authorId="0" shapeId="0" xr:uid="{272D89A7-38A2-4E94-9D6C-4F60E1E215C4}">
      <text>
        <r>
          <rPr>
            <b/>
            <sz val="9"/>
            <color indexed="81"/>
            <rFont val="Tahoma"/>
            <charset val="1"/>
          </rPr>
          <t>The Wall Street School:</t>
        </r>
        <r>
          <rPr>
            <sz val="9"/>
            <color indexed="81"/>
            <rFont val="Tahoma"/>
            <charset val="1"/>
          </rPr>
          <t xml:space="preserve">
10K Dec 2019, Pg 125</t>
        </r>
      </text>
    </comment>
    <comment ref="B58" authorId="0" shapeId="0" xr:uid="{BE5F2DD7-4201-4D98-AFFB-80EB7031FCB9}">
      <text>
        <r>
          <rPr>
            <b/>
            <sz val="9"/>
            <color indexed="81"/>
            <rFont val="Tahoma"/>
            <charset val="1"/>
          </rPr>
          <t>The Wall Street School:</t>
        </r>
        <r>
          <rPr>
            <sz val="9"/>
            <color indexed="81"/>
            <rFont val="Tahoma"/>
            <charset val="1"/>
          </rPr>
          <t xml:space="preserve">
10K Dec 2017, Pg 105</t>
        </r>
      </text>
    </comment>
    <comment ref="C58" authorId="0" shapeId="0" xr:uid="{46E09F13-346F-45F5-AB72-5B77D11F9A7D}">
      <text>
        <r>
          <rPr>
            <b/>
            <sz val="9"/>
            <color indexed="81"/>
            <rFont val="Tahoma"/>
            <charset val="1"/>
          </rPr>
          <t>The Wall Street School:</t>
        </r>
        <r>
          <rPr>
            <sz val="9"/>
            <color indexed="81"/>
            <rFont val="Tahoma"/>
            <charset val="1"/>
          </rPr>
          <t xml:space="preserve">
10K Dec 2018, Pg 104</t>
        </r>
      </text>
    </comment>
    <comment ref="D58" authorId="0" shapeId="0" xr:uid="{E554BA8D-A57C-4986-BCC7-5AF11552C2AB}">
      <text>
        <r>
          <rPr>
            <b/>
            <sz val="9"/>
            <color indexed="81"/>
            <rFont val="Tahoma"/>
            <charset val="1"/>
          </rPr>
          <t>The Wall Street School:</t>
        </r>
        <r>
          <rPr>
            <sz val="9"/>
            <color indexed="81"/>
            <rFont val="Tahoma"/>
            <charset val="1"/>
          </rPr>
          <t xml:space="preserve">
10K Dec 2019, Pg 101</t>
        </r>
      </text>
    </comment>
    <comment ref="B59" authorId="0" shapeId="0" xr:uid="{06F9A1C4-8923-4279-8233-BE45B777675C}">
      <text>
        <r>
          <rPr>
            <b/>
            <sz val="9"/>
            <color indexed="81"/>
            <rFont val="Tahoma"/>
            <charset val="1"/>
          </rPr>
          <t>The Wall Street School:</t>
        </r>
        <r>
          <rPr>
            <sz val="9"/>
            <color indexed="81"/>
            <rFont val="Tahoma"/>
            <charset val="1"/>
          </rPr>
          <t xml:space="preserve">
10K Dec 2017, Pg 105</t>
        </r>
      </text>
    </comment>
    <comment ref="C59" authorId="0" shapeId="0" xr:uid="{2EA01066-AAB3-4240-82D7-B34B8FA98C3E}">
      <text>
        <r>
          <rPr>
            <b/>
            <sz val="9"/>
            <color indexed="81"/>
            <rFont val="Tahoma"/>
            <charset val="1"/>
          </rPr>
          <t>The Wall Street School:</t>
        </r>
        <r>
          <rPr>
            <sz val="9"/>
            <color indexed="81"/>
            <rFont val="Tahoma"/>
            <charset val="1"/>
          </rPr>
          <t xml:space="preserve">
10K Dec 2019, Pg 101</t>
        </r>
      </text>
    </comment>
    <comment ref="D59" authorId="0" shapeId="0" xr:uid="{4EAE4077-BFAA-4313-B52A-69FD5C7ED45B}">
      <text>
        <r>
          <rPr>
            <b/>
            <sz val="9"/>
            <color indexed="81"/>
            <rFont val="Tahoma"/>
            <charset val="1"/>
          </rPr>
          <t>The Wall Street School:</t>
        </r>
        <r>
          <rPr>
            <sz val="9"/>
            <color indexed="81"/>
            <rFont val="Tahoma"/>
            <charset val="1"/>
          </rPr>
          <t xml:space="preserve">
10K Dec 2019, Pg 101</t>
        </r>
      </text>
    </comment>
    <comment ref="B60" authorId="0" shapeId="0" xr:uid="{05D2CCEB-E15D-44DB-8A44-D7F6E92B8603}">
      <text>
        <r>
          <rPr>
            <b/>
            <sz val="9"/>
            <color indexed="81"/>
            <rFont val="Tahoma"/>
            <charset val="1"/>
          </rPr>
          <t>The Wall Street School:</t>
        </r>
        <r>
          <rPr>
            <sz val="9"/>
            <color indexed="81"/>
            <rFont val="Tahoma"/>
            <charset val="1"/>
          </rPr>
          <t xml:space="preserve">
10K Dec 2018, Pg 110</t>
        </r>
      </text>
    </comment>
    <comment ref="C60" authorId="0" shapeId="0" xr:uid="{51F995C8-F717-4EBC-BEBC-1C3914227CEB}">
      <text>
        <r>
          <rPr>
            <b/>
            <sz val="9"/>
            <color indexed="81"/>
            <rFont val="Tahoma"/>
            <charset val="1"/>
          </rPr>
          <t>The Wall Street School:</t>
        </r>
        <r>
          <rPr>
            <sz val="9"/>
            <color indexed="81"/>
            <rFont val="Tahoma"/>
            <charset val="1"/>
          </rPr>
          <t xml:space="preserve">
10K Dec 2019, Pg 107</t>
        </r>
      </text>
    </comment>
    <comment ref="D60" authorId="0" shapeId="0" xr:uid="{97A3A46E-9A6B-4ACD-85E2-95532BBA3156}">
      <text>
        <r>
          <rPr>
            <b/>
            <sz val="9"/>
            <color indexed="81"/>
            <rFont val="Tahoma"/>
            <charset val="1"/>
          </rPr>
          <t>The Wall Street School:</t>
        </r>
        <r>
          <rPr>
            <sz val="9"/>
            <color indexed="81"/>
            <rFont val="Tahoma"/>
            <charset val="1"/>
          </rPr>
          <t xml:space="preserve">
10K Dec 2019, Pg 107</t>
        </r>
      </text>
    </comment>
    <comment ref="D61" authorId="0" shapeId="0" xr:uid="{A17F1B6A-B970-45B3-A8B2-0D679D06695C}">
      <text>
        <r>
          <rPr>
            <b/>
            <sz val="9"/>
            <color indexed="81"/>
            <rFont val="Tahoma"/>
            <charset val="1"/>
          </rPr>
          <t>The Wall Street School:</t>
        </r>
        <r>
          <rPr>
            <sz val="9"/>
            <color indexed="81"/>
            <rFont val="Tahoma"/>
            <charset val="1"/>
          </rPr>
          <t xml:space="preserve">
10K Dec 2019, Pg 122</t>
        </r>
      </text>
    </comment>
    <comment ref="B67" authorId="0" shapeId="0" xr:uid="{96C8D8D6-50A5-4122-97AD-076B9C95A0B8}">
      <text>
        <r>
          <rPr>
            <b/>
            <sz val="9"/>
            <color indexed="81"/>
            <rFont val="Tahoma"/>
            <charset val="1"/>
          </rPr>
          <t>The Wall Street School:</t>
        </r>
        <r>
          <rPr>
            <sz val="9"/>
            <color indexed="81"/>
            <rFont val="Tahoma"/>
            <charset val="1"/>
          </rPr>
          <t xml:space="preserve">
10K Dec 2018, Pg 127</t>
        </r>
      </text>
    </comment>
    <comment ref="B68" authorId="0" shapeId="0" xr:uid="{8F2CAE4D-ECBD-4B9F-8625-85C9254C126E}">
      <text>
        <r>
          <rPr>
            <b/>
            <sz val="9"/>
            <color indexed="81"/>
            <rFont val="Tahoma"/>
            <charset val="1"/>
          </rPr>
          <t>The Wall Street School:</t>
        </r>
        <r>
          <rPr>
            <sz val="9"/>
            <color indexed="81"/>
            <rFont val="Tahoma"/>
            <charset val="1"/>
          </rPr>
          <t xml:space="preserve">
10K Dec 2018, Pg 127</t>
        </r>
      </text>
    </comment>
    <comment ref="B69" authorId="0" shapeId="0" xr:uid="{D4ED52F1-50A3-4DCF-B933-E97CE8D2AFF4}">
      <text>
        <r>
          <rPr>
            <b/>
            <sz val="9"/>
            <color indexed="81"/>
            <rFont val="Tahoma"/>
            <charset val="1"/>
          </rPr>
          <t>The Wall Street School:</t>
        </r>
        <r>
          <rPr>
            <sz val="9"/>
            <color indexed="81"/>
            <rFont val="Tahoma"/>
            <charset val="1"/>
          </rPr>
          <t xml:space="preserve">
10K Dec 2018, Pg 127</t>
        </r>
      </text>
    </comment>
    <comment ref="D69" authorId="0" shapeId="0" xr:uid="{D9161627-833D-4E0D-9D5E-B9D1CAECE8DB}">
      <text>
        <r>
          <rPr>
            <b/>
            <sz val="9"/>
            <color indexed="81"/>
            <rFont val="Tahoma"/>
            <charset val="1"/>
          </rPr>
          <t>The Wall Street School:</t>
        </r>
        <r>
          <rPr>
            <sz val="9"/>
            <color indexed="81"/>
            <rFont val="Tahoma"/>
            <charset val="1"/>
          </rPr>
          <t xml:space="preserve">
10K Dec 2019, Pg 125</t>
        </r>
      </text>
    </comment>
    <comment ref="E70" authorId="0" shapeId="0" xr:uid="{81C39154-20F2-4556-97C7-B453A8F8AD48}">
      <text>
        <r>
          <rPr>
            <b/>
            <sz val="9"/>
            <color indexed="81"/>
            <rFont val="Tahoma"/>
            <family val="2"/>
          </rPr>
          <t>The Wall Street School:</t>
        </r>
        <r>
          <rPr>
            <sz val="9"/>
            <color indexed="81"/>
            <rFont val="Tahoma"/>
            <family val="2"/>
          </rPr>
          <t xml:space="preserve">
Calculated on the basis of Change in Accounts payable as per CFS
Accounts Payable as per 31 Dec 19: 15,690
Add/Less: Change in Accounts Payable as per CFS for 6 Months June 20: 1336 (Pg 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The Wall Street School</author>
  </authors>
  <commentList>
    <comment ref="E8" authorId="0" shapeId="0" xr:uid="{ED5D04C0-2D3B-491D-A5F9-8C05089F2566}">
      <text>
        <r>
          <rPr>
            <b/>
            <sz val="9"/>
            <color indexed="81"/>
            <rFont val="Tahoma"/>
            <family val="2"/>
          </rPr>
          <t>The Wall Street School:</t>
        </r>
        <r>
          <rPr>
            <sz val="9"/>
            <color indexed="81"/>
            <rFont val="Tahoma"/>
            <family val="2"/>
          </rPr>
          <t xml:space="preserve">
10K Dec 2019. Pg 62
Add: Mark-to-market net impact: 8</t>
        </r>
      </text>
    </comment>
    <comment ref="F8" authorId="0" shapeId="0" xr:uid="{913465F7-1ECD-409D-A7B5-34D47D8130BF}">
      <text>
        <r>
          <rPr>
            <b/>
            <sz val="9"/>
            <color indexed="81"/>
            <rFont val="Tahoma"/>
            <family val="2"/>
          </rPr>
          <t>The Wall Street School:</t>
        </r>
        <r>
          <rPr>
            <sz val="9"/>
            <color indexed="81"/>
            <rFont val="Tahoma"/>
            <family val="2"/>
          </rPr>
          <t xml:space="preserve">
10K Dec 2019. Pg 62
Less: Mark-to-market net impact: -83
Less: Restructuring and impairment charge: -3
</t>
        </r>
      </text>
    </comment>
    <comment ref="G8" authorId="0" shapeId="0" xr:uid="{DB46CD9C-6AD4-46AB-B149-073160E4140C}">
      <text>
        <r>
          <rPr>
            <b/>
            <sz val="9"/>
            <color indexed="81"/>
            <rFont val="Tahoma"/>
            <family val="2"/>
          </rPr>
          <t>The Wall Street School:</t>
        </r>
        <r>
          <rPr>
            <sz val="9"/>
            <color indexed="81"/>
            <rFont val="Tahoma"/>
            <family val="2"/>
          </rPr>
          <t xml:space="preserve">
10K Dec 2019. Pg 61
Add: Mark-to-market net impact: 57
Less: Restructuring and impairment charge: -115
Less: Inventory fair value adjustments and merger and integration charges: -34</t>
        </r>
      </text>
    </comment>
    <comment ref="H8" authorId="0" shapeId="0" xr:uid="{D753CA7D-1605-4C3F-BC50-EE2EF3D4E310}">
      <text>
        <r>
          <rPr>
            <b/>
            <sz val="9"/>
            <color indexed="81"/>
            <rFont val="Tahoma"/>
            <family val="2"/>
          </rPr>
          <t>The Wall Street School:</t>
        </r>
        <r>
          <rPr>
            <sz val="9"/>
            <color indexed="81"/>
            <rFont val="Tahoma"/>
            <family val="2"/>
          </rPr>
          <t xml:space="preserve">
10Q June 2020, Pg 46
Less: Mark-to-market net impact: (24)
Less: Restructuring and impairment charges: (3)
Less: Inventory fair value adjustments and merger and integration charges (19)</t>
        </r>
      </text>
    </comment>
    <comment ref="E11" authorId="0" shapeId="0" xr:uid="{D8CCE822-0AFC-4A1C-9F48-E31B39D4E2DD}">
      <text>
        <r>
          <rPr>
            <b/>
            <sz val="9"/>
            <color indexed="81"/>
            <rFont val="Tahoma"/>
            <family val="2"/>
          </rPr>
          <t>The Wall Street School:</t>
        </r>
        <r>
          <rPr>
            <sz val="9"/>
            <color indexed="81"/>
            <rFont val="Tahoma"/>
            <family val="2"/>
          </rPr>
          <t xml:space="preserve">
10K Dec 2019. Pg 85
Direct Depreciation Cost</t>
        </r>
      </text>
    </comment>
    <comment ref="F11" authorId="0" shapeId="0" xr:uid="{E910D1C3-D3D7-4D49-B743-944B64794000}">
      <text>
        <r>
          <rPr>
            <b/>
            <sz val="9"/>
            <color indexed="81"/>
            <rFont val="Tahoma"/>
            <family val="2"/>
          </rPr>
          <t>The Wall Street School:</t>
        </r>
        <r>
          <rPr>
            <sz val="9"/>
            <color indexed="81"/>
            <rFont val="Tahoma"/>
            <family val="2"/>
          </rPr>
          <t xml:space="preserve">
10K Dec 2019. Pg 85
Direct Depreciation Cost</t>
        </r>
      </text>
    </comment>
    <comment ref="G11" authorId="0" shapeId="0" xr:uid="{1CACF7E7-B16D-4F19-85AC-86D5DAA93504}">
      <text>
        <r>
          <rPr>
            <b/>
            <sz val="9"/>
            <color indexed="81"/>
            <rFont val="Tahoma"/>
            <family val="2"/>
          </rPr>
          <t>The Wall Street School:</t>
        </r>
        <r>
          <rPr>
            <sz val="9"/>
            <color indexed="81"/>
            <rFont val="Tahoma"/>
            <family val="2"/>
          </rPr>
          <t xml:space="preserve">
10K Dec 2019. Pg 85
Direct Depreciation Cost</t>
        </r>
      </text>
    </comment>
    <comment ref="E16" authorId="0" shapeId="0" xr:uid="{94C61C57-5839-401A-80DA-6C90CEB0236D}">
      <text>
        <r>
          <rPr>
            <b/>
            <sz val="9"/>
            <color indexed="81"/>
            <rFont val="Tahoma"/>
            <family val="2"/>
          </rPr>
          <t>The Wall Street School:</t>
        </r>
        <r>
          <rPr>
            <sz val="9"/>
            <color indexed="81"/>
            <rFont val="Tahoma"/>
            <family val="2"/>
          </rPr>
          <t xml:space="preserve">
10K Dec 2019. Pg 62
Add: Mark-to-market net impact: 7
Less: Restructuring and impairment charge: -229</t>
        </r>
      </text>
    </comment>
    <comment ref="F16" authorId="0" shapeId="0" xr:uid="{B35DD918-08AA-4522-A5EE-84C740537E1A}">
      <text>
        <r>
          <rPr>
            <b/>
            <sz val="9"/>
            <color indexed="81"/>
            <rFont val="Tahoma"/>
            <family val="2"/>
          </rPr>
          <t>The Wall Street School:</t>
        </r>
        <r>
          <rPr>
            <sz val="9"/>
            <color indexed="81"/>
            <rFont val="Tahoma"/>
            <family val="2"/>
          </rPr>
          <t xml:space="preserve">
10K Dec 2019. Pg 62
Less: Mark-to-market net impact: -80
Less: Restructuring and impairment charge: -269
Less: Merger and integration charges: -75
</t>
        </r>
      </text>
    </comment>
    <comment ref="G16" authorId="0" shapeId="0" xr:uid="{26CB5368-17D9-49C4-9928-5AE0AA668705}">
      <text>
        <r>
          <rPr>
            <b/>
            <sz val="9"/>
            <color indexed="81"/>
            <rFont val="Tahoma"/>
            <family val="2"/>
          </rPr>
          <t>The Wall Street School:</t>
        </r>
        <r>
          <rPr>
            <sz val="9"/>
            <color indexed="81"/>
            <rFont val="Tahoma"/>
            <family val="2"/>
          </rPr>
          <t xml:space="preserve">
10K Dec 2019. Pg 61
Add: Mark-to-market net impact: 55
Less: Restructuring and impairment charge: -253
Less: Inventory fair value adjustments and merger and integration charges: -21</t>
        </r>
      </text>
    </comment>
    <comment ref="H16" authorId="0" shapeId="0" xr:uid="{0443704E-6870-4DF0-A940-5396CE365F5F}">
      <text>
        <r>
          <rPr>
            <b/>
            <sz val="9"/>
            <color indexed="81"/>
            <rFont val="Tahoma"/>
            <family val="2"/>
          </rPr>
          <t>The Wall Street School:</t>
        </r>
        <r>
          <rPr>
            <sz val="9"/>
            <color indexed="81"/>
            <rFont val="Tahoma"/>
            <family val="2"/>
          </rPr>
          <t xml:space="preserve">
10Q June 2020, Pg 46
Less: Mark-to-market net impact: (73)
Less: Restructuring and impairment charges: (53)
Less: Inventory fair value adjustments and merger and integration charges (224)</t>
        </r>
      </text>
    </comment>
    <comment ref="E19" authorId="0" shapeId="0" xr:uid="{2212B98F-2489-4CB9-A65B-91163ED8C96C}">
      <text>
        <r>
          <rPr>
            <b/>
            <sz val="9"/>
            <color indexed="81"/>
            <rFont val="Tahoma"/>
            <family val="2"/>
          </rPr>
          <t>The Wall Street School:</t>
        </r>
        <r>
          <rPr>
            <sz val="9"/>
            <color indexed="81"/>
            <rFont val="Tahoma"/>
            <family val="2"/>
          </rPr>
          <t xml:space="preserve">
10K Dec 2019. Pg 85
Corporate Depreciation and Other Amortization</t>
        </r>
      </text>
    </comment>
    <comment ref="F19" authorId="0" shapeId="0" xr:uid="{C93EF4C5-2CCF-470E-9061-E61CAF8370B6}">
      <text>
        <r>
          <rPr>
            <b/>
            <sz val="9"/>
            <color indexed="81"/>
            <rFont val="Tahoma"/>
            <family val="2"/>
          </rPr>
          <t>The Wall Street School:</t>
        </r>
        <r>
          <rPr>
            <sz val="9"/>
            <color indexed="81"/>
            <rFont val="Tahoma"/>
            <family val="2"/>
          </rPr>
          <t xml:space="preserve">
10K Dec 2019. Pg 85
Corporate Depreciation and Other Amortization</t>
        </r>
      </text>
    </comment>
    <comment ref="G19" authorId="0" shapeId="0" xr:uid="{A53F052C-056D-4736-A2A3-0C7E6DBF5E69}">
      <text>
        <r>
          <rPr>
            <b/>
            <sz val="9"/>
            <color indexed="81"/>
            <rFont val="Tahoma"/>
            <family val="2"/>
          </rPr>
          <t>The Wall Street School:</t>
        </r>
        <r>
          <rPr>
            <sz val="9"/>
            <color indexed="81"/>
            <rFont val="Tahoma"/>
            <family val="2"/>
          </rPr>
          <t xml:space="preserve">
10K Dec 2019. Pg 85
Corporate Depreciation and Other Amortization</t>
        </r>
      </text>
    </comment>
    <comment ref="E20" authorId="0" shapeId="0" xr:uid="{8F897903-F8AF-42F8-B3C1-CC02B1BA971D}">
      <text>
        <r>
          <rPr>
            <b/>
            <sz val="9"/>
            <color indexed="81"/>
            <rFont val="Tahoma"/>
            <family val="2"/>
          </rPr>
          <t>The Wall Street School:</t>
        </r>
        <r>
          <rPr>
            <sz val="9"/>
            <color indexed="81"/>
            <rFont val="Tahoma"/>
            <family val="2"/>
          </rPr>
          <t xml:space="preserve">
10K Dec 2019. Pg 85
Amortization of Intangible Assets</t>
        </r>
      </text>
    </comment>
    <comment ref="F20" authorId="0" shapeId="0" xr:uid="{ADCC31D1-4EF5-48A5-8595-FEBC182AB95E}">
      <text>
        <r>
          <rPr>
            <b/>
            <sz val="9"/>
            <color indexed="81"/>
            <rFont val="Tahoma"/>
            <family val="2"/>
          </rPr>
          <t>The Wall Street School:</t>
        </r>
        <r>
          <rPr>
            <sz val="9"/>
            <color indexed="81"/>
            <rFont val="Tahoma"/>
            <family val="2"/>
          </rPr>
          <t xml:space="preserve">
10K Dec 2019. Pg 85
Amortization of Intangible Assets</t>
        </r>
      </text>
    </comment>
    <comment ref="G20" authorId="0" shapeId="0" xr:uid="{049C8A8C-424A-474C-AE83-89CB94A1A73A}">
      <text>
        <r>
          <rPr>
            <b/>
            <sz val="9"/>
            <color indexed="81"/>
            <rFont val="Tahoma"/>
            <family val="2"/>
          </rPr>
          <t>The Wall Street School:</t>
        </r>
        <r>
          <rPr>
            <sz val="9"/>
            <color indexed="81"/>
            <rFont val="Tahoma"/>
            <family val="2"/>
          </rPr>
          <t xml:space="preserve">
10K Dec 2019. Pg 85
Amortization of Intangible Assets</t>
        </r>
      </text>
    </comment>
    <comment ref="E25" authorId="0" shapeId="0" xr:uid="{81B41C83-8F59-4DE3-9E46-1482CB7CE388}">
      <text>
        <r>
          <rPr>
            <b/>
            <sz val="9"/>
            <color indexed="81"/>
            <rFont val="Tahoma"/>
            <family val="2"/>
          </rPr>
          <t>The Wall Street School:</t>
        </r>
        <r>
          <rPr>
            <sz val="9"/>
            <color indexed="81"/>
            <rFont val="Tahoma"/>
            <family val="2"/>
          </rPr>
          <t xml:space="preserve">
10K Dec 2019. Pg 62
Add: Restructuring and impairment charge: 66
</t>
        </r>
      </text>
    </comment>
    <comment ref="F25" authorId="0" shapeId="0" xr:uid="{C6F2DD77-DEAC-445A-A8F9-94C6866CEC28}">
      <text>
        <r>
          <rPr>
            <b/>
            <sz val="9"/>
            <color indexed="81"/>
            <rFont val="Tahoma"/>
            <family val="2"/>
          </rPr>
          <t>The Wall Street School:</t>
        </r>
        <r>
          <rPr>
            <sz val="9"/>
            <color indexed="81"/>
            <rFont val="Tahoma"/>
            <family val="2"/>
          </rPr>
          <t xml:space="preserve">
10K Dec 2019. Pg 62
Add: Restructuring and impairment charge: 36
</t>
        </r>
      </text>
    </comment>
    <comment ref="G25" authorId="0" shapeId="0" xr:uid="{635D5871-684F-459C-B2EF-76BDF6C9F529}">
      <text>
        <r>
          <rPr>
            <b/>
            <sz val="9"/>
            <color indexed="81"/>
            <rFont val="Tahoma"/>
            <family val="2"/>
          </rPr>
          <t>The Wall Street School:</t>
        </r>
        <r>
          <rPr>
            <sz val="9"/>
            <color indexed="81"/>
            <rFont val="Tahoma"/>
            <family val="2"/>
          </rPr>
          <t xml:space="preserve">
10K Dec 2019. Pg 61
Add: Restructuring and impairment charges: 2
Add: Pension-related settlement charges: 231</t>
        </r>
      </text>
    </comment>
    <comment ref="H25" authorId="0" shapeId="0" xr:uid="{6058DAC0-BB59-48C4-92F0-B7D076F813B7}">
      <text>
        <r>
          <rPr>
            <b/>
            <sz val="9"/>
            <color indexed="81"/>
            <rFont val="Tahoma"/>
            <family val="2"/>
          </rPr>
          <t>The Wall Street School:</t>
        </r>
        <r>
          <rPr>
            <sz val="9"/>
            <color indexed="81"/>
            <rFont val="Tahoma"/>
            <family val="2"/>
          </rPr>
          <t xml:space="preserve">
10Q June 2020, Pg 46
Add: Restructuring and impairment charges: 7</t>
        </r>
      </text>
    </comment>
    <comment ref="F29" authorId="0" shapeId="0" xr:uid="{9ADEDFF7-F28F-40D0-9521-875C22CE9B9F}">
      <text>
        <r>
          <rPr>
            <b/>
            <sz val="9"/>
            <color indexed="81"/>
            <rFont val="Tahoma"/>
            <family val="2"/>
          </rPr>
          <t>The Wall Street School:</t>
        </r>
        <r>
          <rPr>
            <sz val="9"/>
            <color indexed="81"/>
            <rFont val="Tahoma"/>
            <family val="2"/>
          </rPr>
          <t xml:space="preserve">
10K Dec 2019. Pg 62
Add: Charges related to cash tender and exchange offers</t>
        </r>
      </text>
    </comment>
    <comment ref="H30" authorId="0" shapeId="0" xr:uid="{DD97C16B-FBC5-4D77-BBAC-7E171417E18D}">
      <text>
        <r>
          <rPr>
            <b/>
            <sz val="9"/>
            <color indexed="81"/>
            <rFont val="Tahoma"/>
            <family val="2"/>
          </rPr>
          <t>The Wall Street School:</t>
        </r>
        <r>
          <rPr>
            <sz val="9"/>
            <color indexed="81"/>
            <rFont val="Tahoma"/>
            <family val="2"/>
          </rPr>
          <t xml:space="preserve">
Net Interest Exp (Net of Interest Income)</t>
        </r>
      </text>
    </comment>
    <comment ref="E37" authorId="0" shapeId="0" xr:uid="{E13F25BD-C2D6-4359-963B-2BB5FBDBE0FD}">
      <text>
        <r>
          <rPr>
            <b/>
            <sz val="9"/>
            <color indexed="81"/>
            <rFont val="Tahoma"/>
            <family val="2"/>
          </rPr>
          <t>The Wall Street School:</t>
        </r>
        <r>
          <rPr>
            <sz val="9"/>
            <color indexed="81"/>
            <rFont val="Tahoma"/>
            <family val="2"/>
          </rPr>
          <t xml:space="preserve">
10K Dec 2019. Pg 62
Less: Mark-to-market net impact: -7
Add: Restructuring and impairment charges: 71
Less: Net tax related to the TCJ Act: -2,451</t>
        </r>
      </text>
    </comment>
    <comment ref="F37" authorId="0" shapeId="0" xr:uid="{DA8206F4-254D-446F-A56F-F90617FD7AE1}">
      <text>
        <r>
          <rPr>
            <b/>
            <sz val="9"/>
            <color indexed="81"/>
            <rFont val="Tahoma"/>
            <family val="2"/>
          </rPr>
          <t>The Wall Street School:</t>
        </r>
        <r>
          <rPr>
            <sz val="9"/>
            <color indexed="81"/>
            <rFont val="Tahoma"/>
            <family val="2"/>
          </rPr>
          <t xml:space="preserve">
10K Dec 2019. Pg 62
Add: Mark-to-market net impact: 38
Add: Restructuring and impairment charges: 56
Add: Net tax related to the TCJ Act: 28
Add: Other net tax benefits: 5,064
Add: Charges related to cash tender and exchange offers: 62</t>
        </r>
      </text>
    </comment>
    <comment ref="G37" authorId="0" shapeId="0" xr:uid="{04C8D578-D473-4F1F-A8E6-F1C269E8B603}">
      <text>
        <r>
          <rPr>
            <b/>
            <sz val="9"/>
            <color indexed="81"/>
            <rFont val="Tahoma"/>
            <family val="2"/>
          </rPr>
          <t>The Wall Street School:</t>
        </r>
        <r>
          <rPr>
            <sz val="9"/>
            <color indexed="81"/>
            <rFont val="Tahoma"/>
            <family val="2"/>
          </rPr>
          <t xml:space="preserve">
10K Dec 2019. Pg 61
Less: Mark-to-market net impact: -25
Add: Restructuring and impairment charges: 67
Add: Inventory fair value adjustments and merger and integration charges: 8
Add: Pension-related settlement charges: 62
Add: Net tax related to the TCJ Act: 8</t>
        </r>
      </text>
    </comment>
    <comment ref="H37" authorId="0" shapeId="0" xr:uid="{08D7C5A5-D51F-4D86-96C8-351E83823C67}">
      <text>
        <r>
          <rPr>
            <b/>
            <sz val="9"/>
            <color indexed="81"/>
            <rFont val="Tahoma"/>
            <family val="2"/>
          </rPr>
          <t>The Wall Street School:</t>
        </r>
        <r>
          <rPr>
            <sz val="9"/>
            <color indexed="81"/>
            <rFont val="Tahoma"/>
            <family val="2"/>
          </rPr>
          <t xml:space="preserve">
10Q June 2020, Pg 46
Add: Mark-to-market net impact: 24
Add: Restructuring and impairment charges: 10
Add: Inventory fair value adjustments and merger and integration charges 16</t>
        </r>
      </text>
    </comment>
    <comment ref="F43" authorId="0" shapeId="0" xr:uid="{6BBBBA5D-784A-4F68-BE67-8EA9BDE16A71}">
      <text>
        <r>
          <rPr>
            <b/>
            <sz val="9"/>
            <color indexed="81"/>
            <rFont val="Tahoma"/>
            <family val="2"/>
          </rPr>
          <t>The Wall Street School:</t>
        </r>
        <r>
          <rPr>
            <sz val="9"/>
            <color indexed="81"/>
            <rFont val="Tahoma"/>
            <family val="2"/>
          </rPr>
          <t xml:space="preserve">
10K Dec 2019. Pg 62
Add: Restructuring and impairment charges: 1
</t>
        </r>
      </text>
    </comment>
    <comment ref="G43" authorId="0" shapeId="0" xr:uid="{B29335C9-1CB1-4AA1-9BC3-7296E5629946}">
      <text>
        <r>
          <rPr>
            <b/>
            <sz val="9"/>
            <color indexed="81"/>
            <rFont val="Tahoma"/>
            <family val="2"/>
          </rPr>
          <t>The Wall Street School:</t>
        </r>
        <r>
          <rPr>
            <sz val="9"/>
            <color indexed="81"/>
            <rFont val="Tahoma"/>
            <family val="2"/>
          </rPr>
          <t xml:space="preserve">
10K Dec 2019. Pg 61
Add: Restructuring and impairment charges: 5
</t>
        </r>
      </text>
    </comment>
  </commentList>
</comments>
</file>

<file path=xl/sharedStrings.xml><?xml version="1.0" encoding="utf-8"?>
<sst xmlns="http://schemas.openxmlformats.org/spreadsheetml/2006/main" count="865" uniqueCount="690">
  <si>
    <t>Date of cash flows</t>
  </si>
  <si>
    <t>EBIT</t>
  </si>
  <si>
    <t>Tax expense</t>
  </si>
  <si>
    <t>NOPAT</t>
  </si>
  <si>
    <t>Add: Depreciation and amortisation</t>
  </si>
  <si>
    <t>Add/Less: (Increase)/ Decrease in net working capital</t>
  </si>
  <si>
    <t>Less: Capital expenditure</t>
  </si>
  <si>
    <t>Discount rate (%)</t>
  </si>
  <si>
    <t>Gordon growth</t>
  </si>
  <si>
    <t>Total Value of Firm</t>
  </si>
  <si>
    <t>Less: Gross Debt &amp; Debt Equivalents</t>
  </si>
  <si>
    <t>Add: Cash</t>
  </si>
  <si>
    <t>Less: Non Controling Interest</t>
  </si>
  <si>
    <t>DCF value of Common Equity</t>
  </si>
  <si>
    <t>DCF value per share</t>
  </si>
  <si>
    <t>Terminal Value</t>
  </si>
  <si>
    <t>Exit Multiple Method</t>
  </si>
  <si>
    <t>Present Value of TV</t>
  </si>
  <si>
    <t xml:space="preserve">Cost of equity </t>
  </si>
  <si>
    <t xml:space="preserve">Cost of debt </t>
  </si>
  <si>
    <t>Weighted average cost of capital</t>
  </si>
  <si>
    <t>Particulars</t>
  </si>
  <si>
    <t>Notes</t>
  </si>
  <si>
    <t>Value</t>
  </si>
  <si>
    <t>Weight</t>
  </si>
  <si>
    <t>Cost</t>
  </si>
  <si>
    <t xml:space="preserve">Risk-free rate (%) </t>
  </si>
  <si>
    <t>Debt borrowing rate (%)</t>
  </si>
  <si>
    <t>Debt (%)</t>
  </si>
  <si>
    <t>Cost of debt (%)</t>
  </si>
  <si>
    <t>Beta</t>
  </si>
  <si>
    <t>Expected income tax rate (%)</t>
  </si>
  <si>
    <t>Equity (%)</t>
  </si>
  <si>
    <t>Cost of equity (%)</t>
  </si>
  <si>
    <t xml:space="preserve">Equity market risk premium (%) </t>
  </si>
  <si>
    <t>After-tax cost of debt (%)</t>
  </si>
  <si>
    <t>WACC</t>
  </si>
  <si>
    <t>Additional risk premium (%)</t>
  </si>
  <si>
    <t>Source: Calculation</t>
  </si>
  <si>
    <t>Cost of equity capital (%)</t>
  </si>
  <si>
    <t>Calculation of beta</t>
  </si>
  <si>
    <t>Tax rate (%)</t>
  </si>
  <si>
    <t>Unlevered beta</t>
  </si>
  <si>
    <t>Relevered beta</t>
  </si>
  <si>
    <t>R sq</t>
  </si>
  <si>
    <t>Bottom-up</t>
  </si>
  <si>
    <t>Regression beta</t>
  </si>
  <si>
    <t>Beta calculation</t>
  </si>
  <si>
    <t>Date</t>
  </si>
  <si>
    <t>Price</t>
  </si>
  <si>
    <t>%</t>
  </si>
  <si>
    <t xml:space="preserve">Balance Sheet as of:
</t>
  </si>
  <si>
    <t>ASSETS</t>
  </si>
  <si>
    <t>Cash And Equivalents</t>
  </si>
  <si>
    <t>Short Term Investments</t>
  </si>
  <si>
    <t>Goodwill</t>
  </si>
  <si>
    <t>Total Assets</t>
  </si>
  <si>
    <t>LIABILITIES</t>
  </si>
  <si>
    <t xml:space="preserve">  Total Current Liabilities</t>
  </si>
  <si>
    <t>Total Liabilities</t>
  </si>
  <si>
    <t>Common Stock</t>
  </si>
  <si>
    <t>Retained Earnings</t>
  </si>
  <si>
    <t>Total Equity</t>
  </si>
  <si>
    <t>Total Liabilities And Equity</t>
  </si>
  <si>
    <t>Share Price</t>
  </si>
  <si>
    <t>Income Statement</t>
  </si>
  <si>
    <t xml:space="preserve"> </t>
  </si>
  <si>
    <t>Profitability ratios</t>
  </si>
  <si>
    <t>Sales growth (%)</t>
  </si>
  <si>
    <t>Cost as % of sales</t>
  </si>
  <si>
    <t>Capital Expenditure</t>
  </si>
  <si>
    <t>DCF Value of Firm / Operating Business Enterprise Value</t>
  </si>
  <si>
    <t>FLNA</t>
  </si>
  <si>
    <t>QFNA</t>
  </si>
  <si>
    <t>PBNA</t>
  </si>
  <si>
    <t>LatAm</t>
  </si>
  <si>
    <t>Europe</t>
  </si>
  <si>
    <t>AMESA</t>
  </si>
  <si>
    <t>APAC</t>
  </si>
  <si>
    <t>Total Division</t>
  </si>
  <si>
    <t>Growth%</t>
  </si>
  <si>
    <t>Volume</t>
  </si>
  <si>
    <t>Organic Growth %</t>
  </si>
  <si>
    <t>Net Revenue</t>
  </si>
  <si>
    <t>Cost of Sales (Other than Depreciation Exp)</t>
  </si>
  <si>
    <t>Depreciation Exp</t>
  </si>
  <si>
    <t>Selling, General &amp; Admin Exp. (Excluding Amortisation Exp)</t>
  </si>
  <si>
    <t>Other pension and retiree medical benefits (expense)/income</t>
  </si>
  <si>
    <t>Interest Income and Other</t>
  </si>
  <si>
    <t>Impact of Special Items</t>
  </si>
  <si>
    <t>Gross Profit-Normalised</t>
  </si>
  <si>
    <r>
      <t>Income Tax Expense-</t>
    </r>
    <r>
      <rPr>
        <sz val="10"/>
        <color rgb="FFFF0000"/>
        <rFont val="Calibri"/>
        <family val="2"/>
        <scheme val="minor"/>
      </rPr>
      <t xml:space="preserve">Reported </t>
    </r>
  </si>
  <si>
    <t>Gross profit margins (%)-Normalised</t>
  </si>
  <si>
    <t>EBITDA margins (%)-Normalised</t>
  </si>
  <si>
    <t>EBIT margins (%)-Normalised</t>
  </si>
  <si>
    <t>Corporate Depreciation and Amort</t>
  </si>
  <si>
    <t>Amortisation of Intangible Assets</t>
  </si>
  <si>
    <t>Share of noncontrolling interests (%age of Net Income)</t>
  </si>
  <si>
    <t>From Debt Schedule</t>
  </si>
  <si>
    <t>Net Income margins (%)-Normalised</t>
  </si>
  <si>
    <t>Restricted Cash</t>
  </si>
  <si>
    <t>Inventories</t>
  </si>
  <si>
    <t>Prepaid expenses and other current assets</t>
  </si>
  <si>
    <t xml:space="preserve">Total Current Assets </t>
  </si>
  <si>
    <t>Net Property, Plant &amp; Equipment</t>
  </si>
  <si>
    <t>Amortizable Intangible Assets, net</t>
  </si>
  <si>
    <t>Other indefinite-lived intangible assets</t>
  </si>
  <si>
    <t>Investments in Noncontrolled Affiliates</t>
  </si>
  <si>
    <t>Deferred Income Taxes</t>
  </si>
  <si>
    <t>Other Assets</t>
  </si>
  <si>
    <t>Short-term debt obligations</t>
  </si>
  <si>
    <t xml:space="preserve">Accounts payable and other current liabilities </t>
  </si>
  <si>
    <t>Long-Term Debt Obligations</t>
  </si>
  <si>
    <t xml:space="preserve">Other Liabilities </t>
  </si>
  <si>
    <t xml:space="preserve">Capital in excess of par value </t>
  </si>
  <si>
    <t>Accumulated other comprehensive loss</t>
  </si>
  <si>
    <t>Repurchased common stock, in excess of par value</t>
  </si>
  <si>
    <t>Noncontrolling interests</t>
  </si>
  <si>
    <t xml:space="preserve">Total PepsiCo Common Shareholders’ Equity </t>
  </si>
  <si>
    <t>Accounts and Notes Receivable</t>
  </si>
  <si>
    <t>Reserve for Income Taxes</t>
  </si>
  <si>
    <t>Accrue interest related to reserves for income taxes</t>
  </si>
  <si>
    <t xml:space="preserve">Right-of-use assets </t>
  </si>
  <si>
    <t>Overfunded Plan Assets</t>
  </si>
  <si>
    <t>Operating Lease Liab-Non Current</t>
  </si>
  <si>
    <t>Current lease liabilities</t>
  </si>
  <si>
    <t>Unfunded Pension and Other Benefit Liabilities-Non Current</t>
  </si>
  <si>
    <t>Notes and Accounts Receivable-Non Current</t>
  </si>
  <si>
    <t>Other</t>
  </si>
  <si>
    <t>Deferred marketplace spending</t>
  </si>
  <si>
    <t>Dividends payable</t>
  </si>
  <si>
    <t>SodaStream consideration payable</t>
  </si>
  <si>
    <t>Other-Balance</t>
  </si>
  <si>
    <t>Preferred Stock, no par value</t>
  </si>
  <si>
    <t>Repurchased Preferred Stock</t>
  </si>
  <si>
    <t>No Breakup Available in Quarterly Filing</t>
  </si>
  <si>
    <t>Working Capital</t>
  </si>
  <si>
    <t>Operating Current Liabilities</t>
  </si>
  <si>
    <t>Operating Current Assets</t>
  </si>
  <si>
    <t>Inventory Turnover Ratio</t>
  </si>
  <si>
    <t>Receivable Turnover Ratio</t>
  </si>
  <si>
    <t>Payable Turnover Ratio</t>
  </si>
  <si>
    <t>%age of Sales</t>
  </si>
  <si>
    <t>Cash Flow Statement</t>
  </si>
  <si>
    <t>Cash From Operating Activities</t>
  </si>
  <si>
    <t>Net Income</t>
  </si>
  <si>
    <t>Depreciation and amortization</t>
  </si>
  <si>
    <t>Share-based compensation expense</t>
  </si>
  <si>
    <t>Change in assets and liabilities:</t>
  </si>
  <si>
    <t>Accounts and notes receivable</t>
  </si>
  <si>
    <t>Accounts payable and other current liabilities</t>
  </si>
  <si>
    <t>Net Cash Provided by Operating Activities</t>
  </si>
  <si>
    <t>Cash From Investing Activities</t>
  </si>
  <si>
    <t>Net Cash Used for Investing Activities</t>
  </si>
  <si>
    <t>Cash From Financing Activities</t>
  </si>
  <si>
    <t>Debt Raised</t>
  </si>
  <si>
    <t>Debt Repaid</t>
  </si>
  <si>
    <t>Cash dividends paid</t>
  </si>
  <si>
    <t>Net Cash Provided by/(Used for) Financing Activities</t>
  </si>
  <si>
    <t>Net Increase/(Decrease) in Cash and Cash Equivalents</t>
  </si>
  <si>
    <t xml:space="preserve">Cash and Cash Equivalents, Beginning of Year </t>
  </si>
  <si>
    <t>Cash and Cash Equivalents, End of Period</t>
  </si>
  <si>
    <t>Share-based Compensation Expenses</t>
  </si>
  <si>
    <t>Property, Plant &amp; Equipment</t>
  </si>
  <si>
    <t>Less: Depreciation during the year</t>
  </si>
  <si>
    <t>Total Depreciable Assets During the Year</t>
  </si>
  <si>
    <t>Opening Balance-WDV</t>
  </si>
  <si>
    <t>Closing Balance-WDV</t>
  </si>
  <si>
    <t>PPE Turnover Ratio</t>
  </si>
  <si>
    <t>Depreciation Rate</t>
  </si>
  <si>
    <t>Less: Non Operating Items</t>
  </si>
  <si>
    <t>No Break Up Available</t>
  </si>
  <si>
    <t>June-30-2020</t>
  </si>
  <si>
    <t>Add: Net Addition during the Period</t>
  </si>
  <si>
    <t>6 Monthly</t>
  </si>
  <si>
    <t xml:space="preserve">Cost of Sales-Reported </t>
  </si>
  <si>
    <t xml:space="preserve">Cost of Sales-Normalised </t>
  </si>
  <si>
    <t>Selling, General &amp; Admin Exp.-Reported</t>
  </si>
  <si>
    <t xml:space="preserve">Selling, General &amp; Admin Exp.-Normalised </t>
  </si>
  <si>
    <t xml:space="preserve">Operating Income / EBIT-Normalised </t>
  </si>
  <si>
    <t xml:space="preserve">Other pension and retiree medical benefits (expense)/income-Normalised </t>
  </si>
  <si>
    <t xml:space="preserve">Other pension and retiree medical benefits (expense)/income-Reported </t>
  </si>
  <si>
    <t>Interest Expense-Reported</t>
  </si>
  <si>
    <t>Interest Expense-Normalised</t>
  </si>
  <si>
    <t xml:space="preserve">Income before Income Taxes-Normalised </t>
  </si>
  <si>
    <t>Income Tax Expense-Normalised</t>
  </si>
  <si>
    <t xml:space="preserve">Net Income-Normalised </t>
  </si>
  <si>
    <t xml:space="preserve">Share of noncontrolling interests-Reported </t>
  </si>
  <si>
    <t xml:space="preserve">Share of noncontrolling interests-Normalised </t>
  </si>
  <si>
    <t xml:space="preserve">Net Income attributable to PepsiCo-Normalised </t>
  </si>
  <si>
    <t>Tax Rate-Normalised (%age of PBT)</t>
  </si>
  <si>
    <t>Total Amortizable Assets During the Year</t>
  </si>
  <si>
    <t>Less: Amortisation during the year</t>
  </si>
  <si>
    <t>Amortisation Rate</t>
  </si>
  <si>
    <t>Dividend Per Share</t>
  </si>
  <si>
    <t>Weighted Average Common Shares Outstanding-Diluted</t>
  </si>
  <si>
    <t>Earning Per Share-Diluted</t>
  </si>
  <si>
    <t>Dividend Payout Ratio</t>
  </si>
  <si>
    <t>Cash before Raising (Repayment) of Debt</t>
  </si>
  <si>
    <t>Debt Schedule</t>
  </si>
  <si>
    <t>Cash Before Debt</t>
  </si>
  <si>
    <t>Add: Opening Cash Balance</t>
  </si>
  <si>
    <t>Less: Minimum Cash Required</t>
  </si>
  <si>
    <t>Cash Available for Debt</t>
  </si>
  <si>
    <t>Less: Mandatory Debt Repayments</t>
  </si>
  <si>
    <t>Cash Available for Discretionery Sweep</t>
  </si>
  <si>
    <t>of Sales</t>
  </si>
  <si>
    <t>2020 Notes</t>
  </si>
  <si>
    <t>Interest Rate</t>
  </si>
  <si>
    <t>2021 Notes</t>
  </si>
  <si>
    <t>2022 Notes</t>
  </si>
  <si>
    <t>2023 Notes</t>
  </si>
  <si>
    <t>2024 Notes</t>
  </si>
  <si>
    <t>2025-2049 Notes</t>
  </si>
  <si>
    <t>2019-2026 Notes</t>
  </si>
  <si>
    <t>During 24 Weeks June 2020</t>
  </si>
  <si>
    <t>Raised</t>
  </si>
  <si>
    <t>Repaid</t>
  </si>
  <si>
    <t>New Notes May 2023</t>
  </si>
  <si>
    <t>New Notes May 2030</t>
  </si>
  <si>
    <t>New Notes May 2024</t>
  </si>
  <si>
    <t>New Notes May 2028</t>
  </si>
  <si>
    <t>New Notes March 2025</t>
  </si>
  <si>
    <t>New Notes March 2027</t>
  </si>
  <si>
    <t>New Notes March 2030</t>
  </si>
  <si>
    <t>New Notes March 2040</t>
  </si>
  <si>
    <t>New Notes March 2050</t>
  </si>
  <si>
    <t>Repayment Date</t>
  </si>
  <si>
    <t>New Notes March 2060</t>
  </si>
  <si>
    <t>Mandatory Debt</t>
  </si>
  <si>
    <t>Discretionary Debt Schedule</t>
  </si>
  <si>
    <t>Opening Balance</t>
  </si>
  <si>
    <t>Add: Debt Raised</t>
  </si>
  <si>
    <t>Less: Debt Repaid</t>
  </si>
  <si>
    <t>Closing Balance</t>
  </si>
  <si>
    <t>Balance As on 31 Dec 2019</t>
  </si>
  <si>
    <t>Interest Expenses</t>
  </si>
  <si>
    <t>10Q June 2020, Pg 19</t>
  </si>
  <si>
    <t>10K Dec 2019, Pg 112</t>
  </si>
  <si>
    <t>Average Rate</t>
  </si>
  <si>
    <t>Minimum Cash Balance</t>
  </si>
  <si>
    <t>Interest Income Rate</t>
  </si>
  <si>
    <t>Interest Income</t>
  </si>
  <si>
    <t>PepsiCo Inc.</t>
  </si>
  <si>
    <t>Debt free cash flow (Free Cash Flows to Firm)</t>
  </si>
  <si>
    <t>Coca Cola</t>
  </si>
  <si>
    <t>Keurig Dr Pepper</t>
  </si>
  <si>
    <t>Source: 10K Dec 2019, Pg 9</t>
  </si>
  <si>
    <t>Private</t>
  </si>
  <si>
    <t xml:space="preserve"> Red Bull GmbH</t>
  </si>
  <si>
    <t xml:space="preserve"> Nestlé S.A. </t>
  </si>
  <si>
    <t>USA</t>
  </si>
  <si>
    <t>Mondelēz International</t>
  </si>
  <si>
    <t>Link Snacks, Inc</t>
  </si>
  <si>
    <t>The Kraft Heinz Company</t>
  </si>
  <si>
    <t>Kellogg Company</t>
  </si>
  <si>
    <t>Conagra Brands</t>
  </si>
  <si>
    <t>Campbell Soup Company</t>
  </si>
  <si>
    <t>The Coca-Cola Company</t>
  </si>
  <si>
    <t>M.Cap (bn USD)</t>
  </si>
  <si>
    <t>Geography</t>
  </si>
  <si>
    <t>Comeptitor Name</t>
  </si>
  <si>
    <t>Competitors List as per PepsiCo Filing</t>
  </si>
  <si>
    <t>Campbell</t>
  </si>
  <si>
    <t>Conagra</t>
  </si>
  <si>
    <t>Kellogg</t>
  </si>
  <si>
    <t>Kraft Heinz</t>
  </si>
  <si>
    <t>Mondelez</t>
  </si>
  <si>
    <t>S&amp;P 500</t>
  </si>
  <si>
    <t>PepsiCo</t>
  </si>
  <si>
    <t>Calculation of Capital Structure of Peer Group Companies</t>
  </si>
  <si>
    <t>Debt</t>
  </si>
  <si>
    <t>Equity</t>
  </si>
  <si>
    <t>Shares O/S</t>
  </si>
  <si>
    <t>M.Cap</t>
  </si>
  <si>
    <t>Monster Beverage Corporation</t>
  </si>
  <si>
    <t>Monster Beverage</t>
  </si>
  <si>
    <t>Tax Rate</t>
  </si>
  <si>
    <t>D/(D+E) 
(last three years)</t>
  </si>
  <si>
    <t>Equity beta</t>
  </si>
  <si>
    <t>E/(D+E) 
(last three years)</t>
  </si>
  <si>
    <t>Beta Calculation for Target Co</t>
  </si>
  <si>
    <t>Industry Average</t>
  </si>
  <si>
    <t>Bottoms Up beta</t>
  </si>
  <si>
    <t>Damodaran ERP</t>
  </si>
  <si>
    <t>Valuation Date</t>
  </si>
  <si>
    <t>Full Period or Partial Period</t>
  </si>
  <si>
    <t>Discounting Period-Year End</t>
  </si>
  <si>
    <t>Discounting Period-Mid Year</t>
  </si>
  <si>
    <t xml:space="preserve">Present value debt free cash flow </t>
  </si>
  <si>
    <t>Choose Discounting</t>
  </si>
  <si>
    <t>Mid Year Discounting</t>
  </si>
  <si>
    <t>Year End Discounting</t>
  </si>
  <si>
    <t>Long Term Growth Rate</t>
  </si>
  <si>
    <t>Add: Non Operating Assets</t>
  </si>
  <si>
    <t>No. of shares o/s-Diluted</t>
  </si>
  <si>
    <t>LTM EV/EBITDA</t>
  </si>
  <si>
    <t>Terminal Year EBITDA</t>
  </si>
  <si>
    <t>LTGR</t>
  </si>
  <si>
    <t>Exit Multiple</t>
  </si>
  <si>
    <t>Average of YTD</t>
  </si>
  <si>
    <t>PepsiCo DCF Valuation</t>
  </si>
  <si>
    <t>Source</t>
  </si>
  <si>
    <t>10K Dec'16, Pg 4</t>
  </si>
  <si>
    <t>10K Dec'19, Pg 84 and 51,
10K Dec'18, Pg 60</t>
  </si>
  <si>
    <t>10Q June'20, Pg 11 and 35</t>
  </si>
  <si>
    <t>Calculation</t>
  </si>
  <si>
    <t>from FA Schedule</t>
  </si>
  <si>
    <t>From Revenue Segment</t>
  </si>
  <si>
    <t>10Q June'20, Pg 4 and 46</t>
  </si>
  <si>
    <t xml:space="preserve">10K Dec'19, Pg 75, 61 and 62
</t>
  </si>
  <si>
    <t>10Q June'20, Pg 6</t>
  </si>
  <si>
    <t>10K Dec'19, Pg 77</t>
  </si>
  <si>
    <t>10Q June'20, Pg 9</t>
  </si>
  <si>
    <t>10K Dec'19, Pg 39</t>
  </si>
  <si>
    <t>Segment Information</t>
  </si>
  <si>
    <t>10K Dec'17, Pg 84</t>
  </si>
  <si>
    <t>10K Dec'19, Pg 79</t>
  </si>
  <si>
    <t>10Q June'20, Pg 8</t>
  </si>
  <si>
    <t>PepsiCo WACC Calculation</t>
  </si>
  <si>
    <t>Source: Calculations</t>
  </si>
  <si>
    <t>Total Mandatory Debt</t>
  </si>
  <si>
    <t>Total Debt (Discretionery + Mandatory)</t>
  </si>
  <si>
    <t>Discretionary Debt (Balance)</t>
  </si>
  <si>
    <t>Check</t>
  </si>
  <si>
    <t>(in USD million except per Share Data)</t>
  </si>
  <si>
    <t>10K Dec'19, Pg 89</t>
  </si>
  <si>
    <t>10K Dec'18, Pg 83</t>
  </si>
  <si>
    <t>10K Dec'18, Pg 127</t>
  </si>
  <si>
    <t>10K Dec'19, Pg 125</t>
  </si>
  <si>
    <t>6 month projection using 6 month growth rate from first halves of 19 and 20</t>
  </si>
  <si>
    <t>Year wise projection for 21 to 24 using yearly average growth rate from 16 to 19 (orange cell)</t>
  </si>
  <si>
    <t>This format has been used to project all other parameters as well</t>
  </si>
  <si>
    <t>FOR 20-24 MONTHS</t>
  </si>
  <si>
    <t>SUM OF COL I and H</t>
  </si>
  <si>
    <t>FORMAT where 3.5 years of data already available</t>
  </si>
  <si>
    <t>Start with Revenue</t>
  </si>
  <si>
    <t>Break down revenue (in this case into 7 segments)</t>
  </si>
  <si>
    <t>Forcast organic growth and ignore special items after reconciling them from the financial reports</t>
  </si>
  <si>
    <t>Go down the I/S forecasting each item as a % of sales EXCEPT Schedule related lines like interest/ammortization/depr expense</t>
  </si>
  <si>
    <t>Get depreciation</t>
  </si>
  <si>
    <t>For previous years to get PPE Turnover(for addition of PPE which justifies sales growth) and Depr rate</t>
  </si>
  <si>
    <t>Get opening and closing and depr from reports</t>
  </si>
  <si>
    <t>Yearly</t>
  </si>
  <si>
    <t>For Forcast years</t>
  </si>
  <si>
    <t>Use PPE Turnover and sales to get required PPE</t>
  </si>
  <si>
    <t>This is BEFORE Depr</t>
  </si>
  <si>
    <t>You can now get depr from depr rate and ppe and net addition from opening and PPE ( so two tasks after previous step)</t>
  </si>
  <si>
    <t>Now link the forcasted depr expenses to I/S</t>
  </si>
  <si>
    <t>In this case the depr expense is split into Depr expense and Coporate depr and amort(yes I know amort in depr) exp</t>
  </si>
  <si>
    <t>Linked to IS after splitting</t>
  </si>
  <si>
    <t xml:space="preserve">Splitting </t>
  </si>
  <si>
    <t>Use historical ratio to forcast and back calculate split</t>
  </si>
  <si>
    <t>Do same for ammort and get ammortization rate</t>
  </si>
  <si>
    <t>back calculate depr then depr rate and PPE Turnover</t>
  </si>
  <si>
    <t xml:space="preserve">But here intangible does not support sales so turnover NOT calculated so how do we get ? WE ASSUME NO NET ADDITION (which happen through acq and merg) </t>
  </si>
  <si>
    <t>For ammortizable assets directly ammortize the opening balance after assuming 0 new addition and link to I/S</t>
  </si>
  <si>
    <t>Don’t forget /2 for 6 months</t>
  </si>
  <si>
    <t>Move to net block Schedule</t>
  </si>
  <si>
    <t>Leave Debt Schedule for now and move to CashFlowStatement</t>
  </si>
  <si>
    <t>CashFlowStatement</t>
  </si>
  <si>
    <t>Start from netIncome import from I/S</t>
  </si>
  <si>
    <t xml:space="preserve">Since it’s a consolidated Statement Net income BEFORE distribution to minority </t>
  </si>
  <si>
    <t>%age of SG&amp;A Expenses</t>
  </si>
  <si>
    <t>CFO</t>
  </si>
  <si>
    <t>add back depr and ammort</t>
  </si>
  <si>
    <t>for share based compensation (which is to be added back since it’s a non cash expese) project it as a % of SG&amp;A from previous years from I/S and then import it in CFS</t>
  </si>
  <si>
    <t>Change in operating assets will come from B/S</t>
  </si>
  <si>
    <t xml:space="preserve">Move to B/S for now for 4 items </t>
  </si>
  <si>
    <t>operating</t>
  </si>
  <si>
    <t>non operating</t>
  </si>
  <si>
    <t xml:space="preserve">only operating part will be taken here since will be used in CFO and CFO only takes operating </t>
  </si>
  <si>
    <t>Don’t apply on 6m</t>
  </si>
  <si>
    <t>B/S Working Balance for CFO only (rest later)</t>
  </si>
  <si>
    <t>Accounts payable and other current liabetes         is   Operating current Liabilities</t>
  </si>
  <si>
    <t>Accounts reciavble, Inventories, Prepaid expenses are Operating current assets</t>
  </si>
  <si>
    <t>Project these 4 items through DPO DSO DIO and %age of sales (for prepaid expenses)</t>
  </si>
  <si>
    <t>DAYS SALES OUTSTANDING (SALES)</t>
  </si>
  <si>
    <t>DAYS INVENTORY OUTSTANDING (COGS w/o depr)</t>
  </si>
  <si>
    <t>DAYS PAYABLE OUTSTANDING (COGS w/o depr)</t>
  </si>
  <si>
    <t xml:space="preserve">Link them first to the top of B/S where it actually is supposed to be </t>
  </si>
  <si>
    <t>the whole group IS SPLIT INTO 2 OPERATING AND NON OPERATING</t>
  </si>
  <si>
    <t>Accounts payable and other current liabilities-OPERATING</t>
  </si>
  <si>
    <t>Accounts payable and other current liabilities-NON OPERATING</t>
  </si>
  <si>
    <t>THEN calculate CHANGES IN B/S ITEMS in CFO</t>
  </si>
  <si>
    <t>Here just do subtraction from previous period (6month - 1year allowed, makes sense)</t>
  </si>
  <si>
    <t>Biforcated into two parts operating/non operating and ONLY OPERATING USED</t>
  </si>
  <si>
    <t>For acc payable you need to first input in the split area where non operating part is STILL TO BE PROJECTED and then back to the main b/s but right now only Operating is used so youre gucci</t>
  </si>
  <si>
    <t>CFO READY</t>
  </si>
  <si>
    <t>CFI</t>
  </si>
  <si>
    <t xml:space="preserve">Only one item there i.e. Capex     </t>
  </si>
  <si>
    <t>Already projected in Fixed Asset Schedule (ADDITION OF ASSETS of BOTH TANGIBLE AND INTANGIBLE but here will come with a negative sign)</t>
  </si>
  <si>
    <t>Although addition of intangible was assumed to be zero</t>
  </si>
  <si>
    <t xml:space="preserve">CFF </t>
  </si>
  <si>
    <t>Interest COST here only as not added back after taking NI (NI already inclused interest as a cost)</t>
  </si>
  <si>
    <t xml:space="preserve">Items like </t>
  </si>
  <si>
    <t>Debt raised / repaid</t>
  </si>
  <si>
    <t>Only after cash position of the company is know. Does the company need to take raise debt to obtain cash. So for CFF we need debt schedule and for debt schedule we need CFF</t>
  </si>
  <si>
    <t>Based on that we will judge if the company has taken debt</t>
  </si>
  <si>
    <t>To tackle this we will split CFF into cash BEFORE raising and repaying debt</t>
  </si>
  <si>
    <t>N/A</t>
  </si>
  <si>
    <t>Divident per share in I/S from projecting Divident payout ratio from Divident per share and Earnings per share from previous years</t>
  </si>
  <si>
    <t>now link after multiplying number of shares WITH A MINUS SIGN SINCE OUTFLOW</t>
  </si>
  <si>
    <t>ALL INCLUDED HERE CFO CFI CFF just Debt not included</t>
  </si>
  <si>
    <t>Start with cash BEFORE debt raising and repayment</t>
  </si>
  <si>
    <t>get opening cash balance from BS (Cash and equivalents)</t>
  </si>
  <si>
    <t>What we had before</t>
  </si>
  <si>
    <t>What we got after yearly operations before debt repay and raise</t>
  </si>
  <si>
    <t>Not mentioned here. Taken as average of 500 companies</t>
  </si>
  <si>
    <t>Calculate Cash Available for Dicretionary Use   (used to predict debt raised/repayed)</t>
  </si>
  <si>
    <t>Net Balance As on 13 June 2020</t>
  </si>
  <si>
    <t>Min cash required in bank for safety net(assume 2% of sales)</t>
  </si>
  <si>
    <t>You get cash available for all debt including mandatory and discretionary repayment of debt</t>
  </si>
  <si>
    <r>
      <t xml:space="preserve">You need to less </t>
    </r>
    <r>
      <rPr>
        <u/>
        <sz val="10"/>
        <rFont val="Arial"/>
        <family val="2"/>
      </rPr>
      <t>mandatory debt repayment</t>
    </r>
    <r>
      <rPr>
        <sz val="10"/>
        <rFont val="Arial"/>
        <family val="2"/>
      </rPr>
      <t xml:space="preserve"> to get Cash available for discretionary use</t>
    </r>
  </si>
  <si>
    <t xml:space="preserve">Sum if repayment date is less than or equal to the period </t>
  </si>
  <si>
    <t>Then you will get cumulative debt till period</t>
  </si>
  <si>
    <t>Debt REPAYMENT hence -ve sign</t>
  </si>
  <si>
    <t>Subtract all previous years to get for that specefic date</t>
  </si>
  <si>
    <t>use - sum(fixedcell:dynamiccell)</t>
  </si>
  <si>
    <t>use sumif</t>
  </si>
  <si>
    <t>Discretionary debt schedule</t>
  </si>
  <si>
    <t xml:space="preserve">add all and you get discretionary use </t>
  </si>
  <si>
    <t>Opening balance for Discretionary Debt FY 2020 is Calculated = 3232</t>
  </si>
  <si>
    <t>Total Debt</t>
  </si>
  <si>
    <t>From B/S Short term + Long Term liabilities</t>
  </si>
  <si>
    <t>From Financial Notes</t>
  </si>
  <si>
    <t>(raised would be +ve)</t>
  </si>
  <si>
    <t>Raise debt if Discretionary Cash available is -ve</t>
  </si>
  <si>
    <t>Repay Debt to the extent of opening balance if cash +ve</t>
  </si>
  <si>
    <t xml:space="preserve">Opening cash balance in Discretionary cash available is still left to be projected so Debt Raised/Repaid will change </t>
  </si>
  <si>
    <t>In the financial notes, it is mentioned when the mandatory debts are to be repaid. Sum them up for each period (from 2020[6months] to 2024)</t>
  </si>
  <si>
    <t>(repaid would be -ve)</t>
  </si>
  <si>
    <t>From Total Debt - Total Mandatory Debt = Opening Balance for Discretionary Debt</t>
  </si>
  <si>
    <t>Amount need to be repaid with choice of time</t>
  </si>
  <si>
    <t>Adjust closing balance of discretionary debt and obviously link to the opening of next year</t>
  </si>
  <si>
    <t>Individual debt raised and its details</t>
  </si>
  <si>
    <t>Interest Cost for Mandatory Debt for Debt accumulated till 13th June with different ammount and diff Interest rate</t>
  </si>
  <si>
    <t>PeriodStartDate</t>
  </si>
  <si>
    <t>PeriodEndDate</t>
  </si>
  <si>
    <t>Debt Accrued till 13jun2020</t>
  </si>
  <si>
    <t>InterestRate for That particular debt</t>
  </si>
  <si>
    <t>Case1</t>
  </si>
  <si>
    <t>Case2</t>
  </si>
  <si>
    <t>Case3</t>
  </si>
  <si>
    <t>Repayment date &lt; period start date</t>
  </si>
  <si>
    <t>Interest</t>
  </si>
  <si>
    <t>period start &lt; Repayment date &lt; period end</t>
  </si>
  <si>
    <t>only interest from period start to repayment</t>
  </si>
  <si>
    <t>period end &lt; Repayment date</t>
  </si>
  <si>
    <t>Normal interest = principal * rate</t>
  </si>
  <si>
    <t>if 6 months divide by 2</t>
  </si>
  <si>
    <t>5 things needed for calculation</t>
  </si>
  <si>
    <t>Assumed to be average of Mandatory debt as not specified</t>
  </si>
  <si>
    <t xml:space="preserve">Interest Cost for Discretionary Debt </t>
  </si>
  <si>
    <t>Interest rate used as an average of Mandatory since not given</t>
  </si>
  <si>
    <t>Okay now theres a problem of circular reference</t>
  </si>
  <si>
    <t>Interest expense(Debt Balance*Interest Rate) -&gt; Income statement -&gt; Net Income -&gt; CashFlowStatement -&gt; Cash available before debt -&gt; Cash available for discretionary use -&gt; Debt Raised/Repaid -&gt; Closing Balance of debt -&gt; Interest Expense</t>
  </si>
  <si>
    <t xml:space="preserve">To solve this. We should charge interest on the opening balance because </t>
  </si>
  <si>
    <t>Original Setup is Intrest Expese is on Closing Debt where Closing Debt depends on Cash generated which depends on net income which depends on Interest Expense basically all the elements of the loop</t>
  </si>
  <si>
    <t xml:space="preserve">New Setup is on Opening Balance which is already known and decided from Previous Years Closing Balance so technically a static number for THAT year.  So now no loop </t>
  </si>
  <si>
    <t>Opening Debt -&gt; Interest -&gt; NI -&gt; Cash -&gt; Closing Debt</t>
  </si>
  <si>
    <t>No loop</t>
  </si>
  <si>
    <t>Only assumption to take care here is that all the changed to the debt are happening at the end of the period ( adding/repaying)</t>
  </si>
  <si>
    <t>NOW LINK INTEREST COST TO THE INCOME STATEMENT</t>
  </si>
  <si>
    <t>NOW LINK DEBT RAISED/REPAYED TO CASH FLOW STATEMENT</t>
  </si>
  <si>
    <t>Interest Income from having minimum cash balance (2% of sales) (assumed to be invested in 10YR Govt Bond rate)</t>
  </si>
  <si>
    <t xml:space="preserve">Interest Expense Normalized (I/S)   =     Interest cost for Mandatory + Discretionary </t>
  </si>
  <si>
    <t>negative sign</t>
  </si>
  <si>
    <t>Be attentive of Edge cases</t>
  </si>
  <si>
    <t>Interest Income from Cash Reserved (2% of sales)</t>
  </si>
  <si>
    <t>Debt Repaid would be -ve</t>
  </si>
  <si>
    <t>Debt Raised would be +ve     inflow of cash</t>
  </si>
  <si>
    <t>Debt Raised only in Discretionary</t>
  </si>
  <si>
    <t>No debt raised in Mandatory only Repayment</t>
  </si>
  <si>
    <t>Mandatory Debt Repayment + Discretionary Repayment</t>
  </si>
  <si>
    <t xml:space="preserve">CFI </t>
  </si>
  <si>
    <t>All individual items are there now</t>
  </si>
  <si>
    <t>Cash before raising/repaying debt not gonna be used</t>
  </si>
  <si>
    <t xml:space="preserve">CASH </t>
  </si>
  <si>
    <t xml:space="preserve">CFI+CFO+CFF to get that year </t>
  </si>
  <si>
    <t xml:space="preserve">Opening from B/S of previous period </t>
  </si>
  <si>
    <t xml:space="preserve">Add both to get end of period </t>
  </si>
  <si>
    <t>LINK THAT TO B/S</t>
  </si>
  <si>
    <t>Now only few items in B/S left</t>
  </si>
  <si>
    <t>Short term investment assumed to be constant from prev year</t>
  </si>
  <si>
    <t>Link PPE and then Amortizable Intangible from Assets Schedule</t>
  </si>
  <si>
    <t>Till 13th June 2020</t>
  </si>
  <si>
    <t>GoodWill,Indefinite intangible, Investment in non controlled,DTA , Other Assets       assumed to be constant</t>
  </si>
  <si>
    <t>Total Debt (Short Term + Long Term)</t>
  </si>
  <si>
    <t>Go to Debt Schedule and calculate Total debt (Short Long Term)</t>
  </si>
  <si>
    <t>Opening Balance from B/S from previous year</t>
  </si>
  <si>
    <t>Opening Bal (st+lt)</t>
  </si>
  <si>
    <t>Mandatory Debt (Repay)/Raise</t>
  </si>
  <si>
    <t>Discretionary Debt Raise</t>
  </si>
  <si>
    <t>Discretionary Debt (Repaid)</t>
  </si>
  <si>
    <t>Closing Bal</t>
  </si>
  <si>
    <t>All debt changes (written there) and get total debt at the end of period</t>
  </si>
  <si>
    <t>Short Term Debt</t>
  </si>
  <si>
    <t>Long Term Debt</t>
  </si>
  <si>
    <t>Get Total Debt (ST+LT)</t>
  </si>
  <si>
    <t>Biforcate into ST+LT because B/S mein bhi to alag alag likha hai</t>
  </si>
  <si>
    <t>ST Debt</t>
  </si>
  <si>
    <t>Whatever Mandory debt repayment is there for this year(which we already have) we only have it only because it became Short Term Debt previous year</t>
  </si>
  <si>
    <t>Tabhi to iss saal Debt repay hua hai</t>
  </si>
  <si>
    <t>Defenition of short term debt</t>
  </si>
  <si>
    <t>So to get This years Short term debt, link next years mandatory debt repayment</t>
  </si>
  <si>
    <t xml:space="preserve">One year will get left(2024) as we don’t have 2025 Mandatory Debt repayment </t>
  </si>
  <si>
    <t>So increase MDR Schedule by 1 year</t>
  </si>
  <si>
    <t>Mandatory Debt Repaid of NEXT year + Closing balance of discretionary debt THIS year</t>
  </si>
  <si>
    <t>LT Debt</t>
  </si>
  <si>
    <t>Balancing Figure</t>
  </si>
  <si>
    <t>NOW LINK THESE BOTH TO B/S</t>
  </si>
  <si>
    <t>Short Term and Long Term Debt Obligations</t>
  </si>
  <si>
    <t>Accounts Payable and other current liabilities</t>
  </si>
  <si>
    <t xml:space="preserve">Already Projected in B/S below (add operating and non operating) </t>
  </si>
  <si>
    <t>Assumed to be constant</t>
  </si>
  <si>
    <t>Same</t>
  </si>
  <si>
    <t>same</t>
  </si>
  <si>
    <t>EQUITY</t>
  </si>
  <si>
    <t>A lot of items are same</t>
  </si>
  <si>
    <t>Non Controlling interests</t>
  </si>
  <si>
    <t>Previous Year + NI Attributable to Pepsico (after minority distribution)(I/S) - dividents paid(CFS)</t>
  </si>
  <si>
    <t>Previous Year + Share of non controlling from I/S</t>
  </si>
  <si>
    <t>Take care of periods</t>
  </si>
  <si>
    <t>Capital In excess of par value</t>
  </si>
  <si>
    <t>Same as before but Share based compensation will have to be added (the one we added back because non cash expense in CFS) because its essentially increasing equity Value</t>
  </si>
  <si>
    <t>BALANCE SHEET SHOULD MATCH</t>
  </si>
  <si>
    <t>ALL STATEMENTS DONE</t>
  </si>
  <si>
    <t>Kd</t>
  </si>
  <si>
    <t>Current Cost of Issuing new long term debt ,not historical interest rates ,since WACC is used for future CF discounting</t>
  </si>
  <si>
    <t>3 ways</t>
  </si>
  <si>
    <t>Recent Debt issued by company</t>
  </si>
  <si>
    <t>Rating based default spread (Country + Company) + Risk Free rate</t>
  </si>
  <si>
    <t>But if current and not historical then what if earlier 6% and now 10%? How do we realize the advantage</t>
  </si>
  <si>
    <t>the 4% saved over the periods will be discounted and reflected in MARKET VALUE OF DEBT ( earlier 100M but saved 4M say over 5 years so now MV of Debt is now 100-17.5 = 82.5</t>
  </si>
  <si>
    <t>Current Bond Yeild on Companys Debt Given they trade on the market</t>
  </si>
  <si>
    <t>The price will change due to demand and YTM will converge to the current debt interest rate</t>
  </si>
  <si>
    <t>(if debt interest rate is higher why would I invest in company bond -&gt; Price drop of bond -&gt; YTM increase to match</t>
  </si>
  <si>
    <t>(if bond YTM is higher why would I invest in Debt Funds -&gt; Price increase of bond -&gt; YTM decreases to match</t>
  </si>
  <si>
    <t>T</t>
  </si>
  <si>
    <t>TAX RATE</t>
  </si>
  <si>
    <t>PRE TAX COST OF DEBT</t>
  </si>
  <si>
    <t xml:space="preserve">Always marginal Rate which is Taxed on the NEXT unit of earnings </t>
  </si>
  <si>
    <t>NOT average effective rate of Tax</t>
  </si>
  <si>
    <t>WACC is forward looking</t>
  </si>
  <si>
    <t>D/V</t>
  </si>
  <si>
    <t>Weightage of debt</t>
  </si>
  <si>
    <t>Debt includes all INTEREST BEARING liabilities (st+lt+capital leases)</t>
  </si>
  <si>
    <t>includes Asset DEFECIT for employee benefit obligation</t>
  </si>
  <si>
    <t>Pension Obligation &gt; Assets to fund Obligation</t>
  </si>
  <si>
    <t>Underfunded Pension Liability treated as liability</t>
  </si>
  <si>
    <t>It represents fixed contractual payment over a long term period of financing. So very similar to borrowing treated as liability</t>
  </si>
  <si>
    <t xml:space="preserve">includes Operating leases if capitalized </t>
  </si>
  <si>
    <t>TARGET CAPITAL STRUCTURE USED NOT CURRENT</t>
  </si>
  <si>
    <t xml:space="preserve">Forward looking </t>
  </si>
  <si>
    <t>Market value of debt used which depends on current interest rate</t>
  </si>
  <si>
    <t>Because investors want required return demanded TODAY</t>
  </si>
  <si>
    <t>Rf</t>
  </si>
  <si>
    <t>Country bond rates + moodys default spread according to country</t>
  </si>
  <si>
    <t>10/20/30 year chosen depending on the DCF forecast period</t>
  </si>
  <si>
    <t>if govt bond rate not there . GDP growth can act as good proxy</t>
  </si>
  <si>
    <t>(in valuations technically infinite period bond yeild should be used, but 10 years is usually used)</t>
  </si>
  <si>
    <t>Real or nominal?</t>
  </si>
  <si>
    <t>Depends on the cash flow of the company. Use same</t>
  </si>
  <si>
    <t>Risk related to MacroEconomic Scale</t>
  </si>
  <si>
    <t>Includes Business Risk AND Leverage Risk</t>
  </si>
  <si>
    <t>2 ways</t>
  </si>
  <si>
    <t>peers comparison</t>
  </si>
  <si>
    <t>ERP</t>
  </si>
  <si>
    <t>Historical indices</t>
  </si>
  <si>
    <t xml:space="preserve">Survey on expexted </t>
  </si>
  <si>
    <t>ERP of Country = Matured market ERP + Country Risk Premium</t>
  </si>
  <si>
    <t>FCF to FIRM</t>
  </si>
  <si>
    <t>EBIT from I/S</t>
  </si>
  <si>
    <t>DCF TAB</t>
  </si>
  <si>
    <t>Tax rate</t>
  </si>
  <si>
    <t>Move from Effective to Marginal</t>
  </si>
  <si>
    <t>Since over time effective actually moves closer to marginal</t>
  </si>
  <si>
    <t>Linear change</t>
  </si>
  <si>
    <t>from 21.2 to 27</t>
  </si>
  <si>
    <t>Increment</t>
  </si>
  <si>
    <t>Done in I/S</t>
  </si>
  <si>
    <t>All from CFS</t>
  </si>
  <si>
    <t>rest items can be found in I/S and CFS</t>
  </si>
  <si>
    <t>Covariance and var</t>
  </si>
  <si>
    <t>Name</t>
  </si>
  <si>
    <t>Check Beta Calculation Tab</t>
  </si>
  <si>
    <t>Not enough Explained by market</t>
  </si>
  <si>
    <t>Ignored in Bottom up Beta Calculation</t>
  </si>
  <si>
    <t>Step 1</t>
  </si>
  <si>
    <t>Calculate Levered beta of peer group</t>
  </si>
  <si>
    <t>calc. industry avg of unlevered beta</t>
  </si>
  <si>
    <t>calc beta of target company by levering the unlevered using the target structure</t>
  </si>
  <si>
    <t>Step 2</t>
  </si>
  <si>
    <t>Step 3</t>
  </si>
  <si>
    <t>Step 4</t>
  </si>
  <si>
    <t>unlever beta of peer group companies in 1 using historical capital structure</t>
  </si>
  <si>
    <t>=</t>
  </si>
  <si>
    <t>This is average business risk of the industry</t>
  </si>
  <si>
    <t>unlever* [ Equity + Debt(1-t)     /         Equity ]</t>
  </si>
  <si>
    <t>levBeta*[   Equity       /    (Equity + Debt(1-t) ]</t>
  </si>
  <si>
    <t>Peers method</t>
  </si>
  <si>
    <t>Approach 1</t>
  </si>
  <si>
    <t>Equity Risk Premium (Er - Rf)</t>
  </si>
  <si>
    <t>For US companies</t>
  </si>
  <si>
    <t xml:space="preserve">Historical Returns upto 50 years </t>
  </si>
  <si>
    <t>Approach 2</t>
  </si>
  <si>
    <t>Based on Expected (survey)</t>
  </si>
  <si>
    <t>Approach 3</t>
  </si>
  <si>
    <t>Predective Model</t>
  </si>
  <si>
    <t>Approach 4</t>
  </si>
  <si>
    <t>ERP (Matured Market) + Country Risk Premium</t>
  </si>
  <si>
    <t xml:space="preserve">  </t>
  </si>
  <si>
    <t>Rating Based</t>
  </si>
  <si>
    <t>Marginal</t>
  </si>
  <si>
    <t>Assumed CF is coming at end of period</t>
  </si>
  <si>
    <t>Assumed CF is coming at middle of period</t>
  </si>
  <si>
    <t>Present value factor- END year discounting</t>
  </si>
  <si>
    <t>Present value factor- MID year discounting</t>
  </si>
  <si>
    <t>Terminal value (for after 4.5 years)</t>
  </si>
  <si>
    <t>Close to US GDP Growth rate</t>
  </si>
  <si>
    <t>Discount sitting at 4.5 years</t>
  </si>
  <si>
    <t>Present Value of Remaining period</t>
  </si>
  <si>
    <t>Present value for explicit period (4.5 Years)</t>
  </si>
  <si>
    <t>Operating worth only</t>
  </si>
  <si>
    <t>Denominator</t>
  </si>
  <si>
    <t>DCF VALUATION</t>
  </si>
  <si>
    <t>discount 4.5 years</t>
  </si>
  <si>
    <t>discount terminal value</t>
  </si>
  <si>
    <t xml:space="preserve">Add non operating value </t>
  </si>
  <si>
    <t>Investments in non controlled affiliates (Most recent)</t>
  </si>
  <si>
    <t>You get</t>
  </si>
  <si>
    <t>Firm Value</t>
  </si>
  <si>
    <t>To get Equity value subtract claims of other stakeholders</t>
  </si>
  <si>
    <t>link from 13th June 2020 as it’s the latest Confirmed</t>
  </si>
  <si>
    <t>Not Weigthed average. Exact Shares on that day</t>
  </si>
  <si>
    <t>Equity Vaue</t>
  </si>
  <si>
    <t>Get Exact shares on that day from Notes</t>
  </si>
  <si>
    <t>Time Sensitive multiple</t>
  </si>
  <si>
    <t>PROJECTED EBITDA of AFTER 4.5 years</t>
  </si>
  <si>
    <t>Terminal Discounted</t>
  </si>
  <si>
    <t>Terminal Discounted + Projected years</t>
  </si>
  <si>
    <t>PepsiCo DCF Valuation — Summary of Steps</t>
  </si>
  <si>
    <t>(in USD million except per-share data). Walkthrough of how the model gets from forecasts to value per share.</t>
  </si>
  <si>
    <t>PART A — BUILDING THE FORECAST (the supporting sheets)</t>
  </si>
  <si>
    <t>Step</t>
  </si>
  <si>
    <t>What happens</t>
  </si>
  <si>
    <t>Where</t>
  </si>
  <si>
    <t>1. Revenue</t>
  </si>
  <si>
    <t>Start with revenue, broken into 7 segments. Forecast organic growth and strip out special/one-off items after reconciling them to the filings.</t>
  </si>
  <si>
    <t>Revenue Segments</t>
  </si>
  <si>
    <t>2. Income Statement</t>
  </si>
  <si>
    <t>Forecast each P&amp;L line as a % of sales, EXCEPT schedule-driven lines (interest, depreciation, amortisation) which come from the asset/debt schedules.</t>
  </si>
  <si>
    <t>PepsiCo-IS</t>
  </si>
  <si>
    <t>3. Fixed Assets / Net Block</t>
  </si>
  <si>
    <t>From history, back out PPE turnover, depreciation rate and amortisation rate. For forecast years: use PPE turnover × sales to size required PPE, then derive depreciation and net additions (capex). Link forecast depreciation &amp; amortisation back into the I/S.</t>
  </si>
  <si>
    <t>Fixed Assets Schedule</t>
  </si>
  <si>
    <t>4. Cash Flow – CFO</t>
  </si>
  <si>
    <t>Start from net income, add back D&amp;A and stock-based comp (projected as a % of SG&amp;A), then layer in changes in operating working capital from the balance sheet.</t>
  </si>
  <si>
    <t>PepsiCo-CFS / PepsiCo-BS</t>
  </si>
  <si>
    <t>5. Cash Flow – CFI</t>
  </si>
  <si>
    <t>Capital expenditure — the additions to tangible and intangible assets from the Fixed Assets Schedule, carried in with a negative sign.</t>
  </si>
  <si>
    <t>PepsiCo-CFS</t>
  </si>
  <si>
    <t>6. Cash Flow – CFF</t>
  </si>
  <si>
    <t>Financing items (debt movements, dividends, buybacks). Debt detail is captured in the Debt Schedule.</t>
  </si>
  <si>
    <t>PepsiCo-CFS / Debt Schedule</t>
  </si>
  <si>
    <t>PART B — THE DCF ENGINE (the DCF sheet)</t>
  </si>
  <si>
    <t>Live value</t>
  </si>
  <si>
    <t>7. Build FCFF</t>
  </si>
  <si>
    <t>For each period: EBIT → less tax = NOPAT; add back D&amp;A; add/less change in net working capital; less capex = Debt-Free Cash Flow (Free Cash Flow to Firm).</t>
  </si>
  <si>
    <t>see DCF rows 10–17</t>
  </si>
  <si>
    <t>8. Discount rate (WACC)</t>
  </si>
  <si>
    <t>Discount at WACC = weight×cost of debt + weight×cost of equity. Cost of equity via CAPM (risk-free + bottom-up beta × ERP).</t>
  </si>
  <si>
    <t>9. Discount each period</t>
  </si>
  <si>
    <t>Apply a present-value factor to each period's FCFF (toggle for year-end vs. mid-year discounting), then sum the discounted explicit-period cash flows.</t>
  </si>
  <si>
    <t>10. Terminal value</t>
  </si>
  <si>
    <t>Gordon growth: final-year FCFF grown at the long-term rate, capitalised by (WACC − g), then discounted back to today.</t>
  </si>
  <si>
    <t>11. Enterprise value</t>
  </si>
  <si>
    <t>PV of explicit-period FCFF + PV of terminal value = operating enterprise value.</t>
  </si>
  <si>
    <t>12. Bridge to equity</t>
  </si>
  <si>
    <t>Add non-operating assets; less gross debt &amp; equivalents; add cash; less non-controlling interest = equity value.</t>
  </si>
  <si>
    <t>13. Value per share</t>
  </si>
  <si>
    <t>Divide equity value by diluted shares outstanding (exact shares on the valuation date, not weighted average).</t>
  </si>
  <si>
    <t>14. Sensitivity</t>
  </si>
  <si>
    <t>Two-way data table flexing WACC against long-term growth rate to show the range of value per share.</t>
  </si>
  <si>
    <t>DCF I28:N37</t>
  </si>
  <si>
    <t>HEADLINE RESULT</t>
  </si>
  <si>
    <t>Implied equity value ($mm)</t>
  </si>
  <si>
    <t>Operating enterprise value ($mm)</t>
  </si>
  <si>
    <t>WACC / Long-term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</si>
</sst>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_ * #,##0.00_ ;_ * \-#,##0.00_ ;_ * &quot;-&quot;??_ ;_ @_ "/>
    <numFmt numFmtId="165" formatCode="_(* #,##0_);_(* \(#,##0\);_(* &quot;-&quot;??_);_(@_)"/>
    <numFmt numFmtId="166" formatCode="0.0%"/>
    <numFmt numFmtId="167" formatCode="_(* #,##0.0000_);_(* \(#,##0.0000\);_(* &quot;-&quot;??_);_(@_)"/>
    <numFmt numFmtId="168" formatCode="_(* #,##0.0_);_(* \(#,##0.0\);_(* &quot;-&quot;??_);_(@_)"/>
    <numFmt numFmtId="169" formatCode="_-* #,##0_-;\-* #,##0_-;_-* &quot;-&quot;_-;_-@_-"/>
    <numFmt numFmtId="170" formatCode="#,##0;\(#,##0\);&quot;-&quot;"/>
    <numFmt numFmtId="171" formatCode="\ #,##0.0_);\(#,##0.0\);&quot; - &quot;_);@_)"/>
    <numFmt numFmtId="172" formatCode="mmm\-dd\-yyyy"/>
    <numFmt numFmtId="173" formatCode="0.0000%"/>
    <numFmt numFmtId="174" formatCode="0.0"/>
    <numFmt numFmtId="175" formatCode="_ * #,##0_ ;_ * \-#,##0_ ;_ * &quot;-&quot;??_ ;_ @_ "/>
    <numFmt numFmtId="176" formatCode="0&quot; days&quot;"/>
    <numFmt numFmtId="177" formatCode="0&quot; Months&quot;"/>
    <numFmt numFmtId="178" formatCode="[$-14009]dd\ mmmm\ yyyy;@"/>
    <numFmt numFmtId="179" formatCode="[$-409]d\-mmm\-yyyy;@"/>
    <numFmt numFmtId="180" formatCode="0.0&quot;x&quot;"/>
    <numFmt numFmtId="181" formatCode="0.0000"/>
    <numFmt numFmtId="182" formatCode="&quot;$&quot;#,##0.00"/>
  </numFmts>
  <fonts count="65" x14ac:knownFonts="1">
    <font>
      <sz val="10"/>
      <name val="Arial"/>
      <family val="2"/>
    </font>
    <font>
      <sz val="10"/>
      <name val="Arial"/>
      <family val="2"/>
    </font>
    <font>
      <sz val="10"/>
      <name val="Calibri"/>
      <family val="2"/>
      <scheme val="minor"/>
    </font>
    <font>
      <b/>
      <u/>
      <sz val="10"/>
      <name val="Calibri"/>
      <family val="2"/>
      <scheme val="minor"/>
    </font>
    <font>
      <b/>
      <sz val="10"/>
      <name val="Calibri"/>
      <family val="2"/>
      <scheme val="minor"/>
    </font>
    <font>
      <b/>
      <i/>
      <sz val="10"/>
      <name val="Calibri"/>
      <family val="2"/>
      <scheme val="minor"/>
    </font>
    <font>
      <b/>
      <sz val="10"/>
      <color indexed="25"/>
      <name val="Arial Narrow"/>
      <family val="2"/>
    </font>
    <font>
      <b/>
      <sz val="10"/>
      <color indexed="25"/>
      <name val="Calibri"/>
      <family val="2"/>
      <scheme val="minor"/>
    </font>
    <font>
      <sz val="10"/>
      <name val="Arial Narrow"/>
      <family val="2"/>
    </font>
    <font>
      <sz val="10"/>
      <color indexed="25"/>
      <name val="Arial Narrow"/>
      <family val="2"/>
    </font>
    <font>
      <i/>
      <sz val="10"/>
      <name val="Calibri"/>
      <family val="2"/>
      <scheme val="minor"/>
    </font>
    <font>
      <sz val="8"/>
      <color indexed="25"/>
      <name val="Arial Narrow"/>
      <family val="2"/>
    </font>
    <font>
      <sz val="10"/>
      <color indexed="25"/>
      <name val="Calibri"/>
      <family val="2"/>
      <scheme val="minor"/>
    </font>
    <font>
      <sz val="1"/>
      <color indexed="9"/>
      <name val="Symbol"/>
      <family val="1"/>
      <charset val="2"/>
    </font>
    <font>
      <sz val="10"/>
      <color indexed="9"/>
      <name val="Calibri"/>
      <family val="2"/>
      <scheme val="minor"/>
    </font>
    <font>
      <b/>
      <sz val="10"/>
      <color indexed="8"/>
      <name val="Calibri"/>
      <family val="2"/>
      <scheme val="minor"/>
    </font>
    <font>
      <sz val="10"/>
      <color indexed="8"/>
      <name val="Calibri"/>
      <family val="2"/>
      <scheme val="minor"/>
    </font>
    <font>
      <b/>
      <u val="double"/>
      <sz val="10"/>
      <color indexed="8"/>
      <name val="Calibri"/>
      <family val="2"/>
      <scheme val="minor"/>
    </font>
    <font>
      <b/>
      <sz val="10"/>
      <color rgb="FFFF0000"/>
      <name val="Calibri"/>
      <family val="2"/>
      <scheme val="minor"/>
    </font>
    <font>
      <b/>
      <sz val="10"/>
      <color theme="0"/>
      <name val="Calibri"/>
      <family val="2"/>
      <scheme val="minor"/>
    </font>
    <font>
      <b/>
      <i/>
      <sz val="10"/>
      <color theme="0"/>
      <name val="Calibri"/>
      <family val="2"/>
      <scheme val="minor"/>
    </font>
    <font>
      <b/>
      <sz val="9"/>
      <color indexed="81"/>
      <name val="Tahoma"/>
      <family val="2"/>
    </font>
    <font>
      <i/>
      <sz val="10"/>
      <color indexed="8"/>
      <name val="Calibri"/>
      <family val="2"/>
      <scheme val="minor"/>
    </font>
    <font>
      <sz val="9"/>
      <color indexed="81"/>
      <name val="Tahoma"/>
      <family val="2"/>
    </font>
    <font>
      <sz val="10"/>
      <color rgb="FFFF0000"/>
      <name val="Calibri"/>
      <family val="2"/>
      <scheme val="minor"/>
    </font>
    <font>
      <b/>
      <i/>
      <sz val="10"/>
      <color rgb="FFFF0000"/>
      <name val="Calibri"/>
      <family val="2"/>
      <scheme val="minor"/>
    </font>
    <font>
      <b/>
      <i/>
      <sz val="10"/>
      <color theme="1"/>
      <name val="Calibri"/>
      <family val="2"/>
      <scheme val="minor"/>
    </font>
    <font>
      <i/>
      <sz val="10"/>
      <color theme="1"/>
      <name val="Calibri"/>
      <family val="2"/>
      <scheme val="minor"/>
    </font>
    <font>
      <b/>
      <u val="singleAccounting"/>
      <sz val="10"/>
      <color indexed="8"/>
      <name val="Calibri"/>
      <family val="2"/>
      <scheme val="minor"/>
    </font>
    <font>
      <u val="singleAccounting"/>
      <sz val="10"/>
      <color indexed="8"/>
      <name val="Calibri"/>
      <family val="2"/>
      <scheme val="minor"/>
    </font>
    <font>
      <sz val="9"/>
      <color indexed="81"/>
      <name val="Tahoma"/>
      <charset val="1"/>
    </font>
    <font>
      <b/>
      <sz val="9"/>
      <color indexed="81"/>
      <name val="Tahoma"/>
      <charset val="1"/>
    </font>
    <font>
      <sz val="10"/>
      <color theme="0"/>
      <name val="Calibri"/>
      <family val="2"/>
      <scheme val="minor"/>
    </font>
    <font>
      <sz val="8"/>
      <name val="Arial"/>
      <family val="2"/>
    </font>
    <font>
      <b/>
      <sz val="10"/>
      <color theme="1"/>
      <name val="Calibri"/>
      <family val="2"/>
      <scheme val="minor"/>
    </font>
    <font>
      <sz val="10"/>
      <color theme="1"/>
      <name val="Calibri"/>
      <family val="2"/>
      <scheme val="minor"/>
    </font>
    <font>
      <u val="singleAccounting"/>
      <sz val="10"/>
      <name val="Calibri"/>
      <family val="2"/>
      <scheme val="minor"/>
    </font>
    <font>
      <i/>
      <sz val="10"/>
      <color indexed="25"/>
      <name val="Calibri"/>
      <family val="2"/>
      <scheme val="minor"/>
    </font>
    <font>
      <sz val="10"/>
      <color rgb="FF993366"/>
      <name val="Calibri"/>
      <family val="2"/>
      <scheme val="minor"/>
    </font>
    <font>
      <i/>
      <sz val="10"/>
      <color rgb="FF993366"/>
      <name val="Calibri"/>
      <family val="2"/>
      <scheme val="minor"/>
    </font>
    <font>
      <i/>
      <sz val="10"/>
      <color theme="4"/>
      <name val="Calibri"/>
      <family val="2"/>
      <scheme val="minor"/>
    </font>
    <font>
      <u/>
      <sz val="10"/>
      <name val="Calibri"/>
      <family val="2"/>
      <scheme val="minor"/>
    </font>
    <font>
      <sz val="10"/>
      <color theme="3"/>
      <name val="Calibri"/>
      <family val="2"/>
      <scheme val="minor"/>
    </font>
    <font>
      <i/>
      <sz val="10"/>
      <color theme="3"/>
      <name val="Calibri"/>
      <family val="2"/>
      <scheme val="minor"/>
    </font>
    <font>
      <i/>
      <sz val="10"/>
      <color theme="4" tint="-0.249977111117893"/>
      <name val="Calibri"/>
      <family val="2"/>
      <scheme val="minor"/>
    </font>
    <font>
      <sz val="10"/>
      <color rgb="FF0070C0"/>
      <name val="Calibri"/>
      <family val="2"/>
      <scheme val="minor"/>
    </font>
    <font>
      <i/>
      <sz val="8"/>
      <name val="Calibri"/>
      <family val="2"/>
      <scheme val="minor"/>
    </font>
    <font>
      <sz val="8"/>
      <name val="Calibri"/>
      <family val="2"/>
      <scheme val="minor"/>
    </font>
    <font>
      <u/>
      <sz val="10"/>
      <name val="Arial"/>
      <family val="2"/>
    </font>
    <font>
      <b/>
      <sz val="10"/>
      <name val="Arial"/>
      <family val="2"/>
    </font>
    <font>
      <b/>
      <sz val="11"/>
      <color rgb="FFFF0000"/>
      <name val="Calibri"/>
      <family val="2"/>
      <scheme val="minor"/>
    </font>
    <font>
      <sz val="11"/>
      <name val="Calibri"/>
      <family val="2"/>
      <scheme val="minor"/>
    </font>
    <font>
      <b/>
      <sz val="12"/>
      <name val="Arial"/>
      <family val="2"/>
    </font>
    <font>
      <b/>
      <sz val="16"/>
      <color rgb="FF1F3864"/>
      <name val="Arial"/>
      <family val="2"/>
    </font>
    <font>
      <i/>
      <sz val="10"/>
      <color rgb="FF595959"/>
      <name val="Arial"/>
      <family val="2"/>
    </font>
    <font>
      <b/>
      <sz val="12"/>
      <color rgb="FFFFFFFF"/>
      <name val="Arial"/>
      <family val="2"/>
    </font>
    <font>
      <sz val="10"/>
      <color rgb="FF008000"/>
      <name val="Arial"/>
      <family val="2"/>
    </font>
    <font>
      <b/>
      <sz val="10"/>
      <color rgb="FF008000"/>
      <name val="Arial"/>
      <family val="2"/>
    </font>
    <font>
      <b/>
      <sz val="10"/>
      <color rgb="FFFFFFFF"/>
      <name val="Arial"/>
      <family val="2"/>
    </font>
    <font>
      <i/>
      <sz val="10"/>
      <color rgb="FF7F7F7F"/>
      <name val="Arial"/>
      <family val="2"/>
    </font>
    <font>
      <b/>
      <i/>
      <sz val="10"/>
      <color rgb="FF7F7F7F"/>
      <name val="Arial"/>
      <family val="2"/>
    </font>
    <font>
      <b/>
      <sz val="16"/>
      <color rgb="FF7030A0"/>
      <name val="Arial"/>
      <family val="2"/>
    </font>
    <font>
      <sz val="10"/>
      <color rgb="FF000000"/>
      <name val="Arial"/>
    </font>
    <font>
      <b/>
      <sz val="10"/>
      <color rgb="FF000000"/>
      <name val="Arial"/>
    </font>
    <font>
      <u/>
      <sz val="10"/>
      <color rgb="FF000000"/>
      <name val="Arial"/>
    </font>
  </fonts>
  <fills count="2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bgColor indexed="64"/>
      </patternFill>
    </fill>
    <fill>
      <patternFill patternType="solid">
        <fgColor rgb="FFFFFFCC"/>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1F3864"/>
        <bgColor indexed="64"/>
      </patternFill>
    </fill>
    <fill>
      <patternFill patternType="solid">
        <fgColor rgb="FFD9E1F2"/>
        <bgColor indexed="64"/>
      </patternFill>
    </fill>
    <fill>
      <patternFill patternType="solid">
        <fgColor rgb="FF385723"/>
        <bgColor indexed="64"/>
      </patternFill>
    </fill>
    <fill>
      <patternFill patternType="solid">
        <fgColor rgb="FFE2EFDA"/>
        <bgColor indexed="64"/>
      </patternFill>
    </fill>
    <fill>
      <patternFill patternType="solid">
        <fgColor rgb="FF7030A0"/>
        <bgColor indexed="64"/>
      </patternFill>
    </fill>
    <fill>
      <patternFill patternType="solid">
        <fgColor rgb="FFF2EAF7"/>
        <bgColor indexed="64"/>
      </patternFill>
    </fill>
  </fills>
  <borders count="45">
    <border>
      <left/>
      <right/>
      <top/>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n">
        <color auto="1"/>
      </bottom>
      <diagonal/>
    </border>
    <border>
      <left/>
      <right/>
      <top style="thin">
        <color indexed="25"/>
      </top>
      <bottom style="thin">
        <color indexed="25"/>
      </bottom>
      <diagonal/>
    </border>
    <border>
      <left/>
      <right/>
      <top/>
      <bottom style="thin">
        <color indexed="25"/>
      </bottom>
      <diagonal/>
    </border>
    <border>
      <left/>
      <right/>
      <top style="thin">
        <color indexed="8"/>
      </top>
      <bottom/>
      <diagonal/>
    </border>
    <border>
      <left/>
      <right/>
      <top/>
      <bottom style="thin">
        <color indexed="64"/>
      </bottom>
      <diagonal/>
    </border>
    <border>
      <left/>
      <right/>
      <top style="thin">
        <color indexed="64"/>
      </top>
      <bottom style="double">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993366"/>
      </top>
      <bottom style="thin">
        <color rgb="FF993366"/>
      </bottom>
      <diagonal/>
    </border>
    <border>
      <left/>
      <right/>
      <top/>
      <bottom style="thin">
        <color rgb="FF993366"/>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rgb="FFD9D9D9"/>
      </top>
      <bottom style="thin">
        <color rgb="FFD9D9D9"/>
      </bottom>
      <diagonal/>
    </border>
    <border>
      <left/>
      <right/>
      <top style="thin">
        <color rgb="FFD9D9D9"/>
      </top>
      <bottom/>
      <diagonal/>
    </border>
    <border>
      <left style="thin">
        <color rgb="FFD9D9D9"/>
      </left>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BFBFBF"/>
      </top>
      <bottom style="thin">
        <color rgb="FFD9D9D9"/>
      </bottom>
      <diagonal/>
    </border>
    <border>
      <left style="thin">
        <color rgb="FFD9D9D9"/>
      </left>
      <right style="thin">
        <color rgb="FFD9D9D9"/>
      </right>
      <top style="thin">
        <color rgb="FFD9D9D9"/>
      </top>
      <bottom style="thin">
        <color rgb="FFBFBFBF"/>
      </bottom>
      <diagonal/>
    </border>
    <border>
      <left style="thin">
        <color rgb="FFBFBFBF"/>
      </left>
      <right style="thin">
        <color rgb="FFD9D9D9"/>
      </right>
      <top style="thin">
        <color rgb="FFBFBFBF"/>
      </top>
      <bottom style="thin">
        <color rgb="FFD9D9D9"/>
      </bottom>
      <diagonal/>
    </border>
    <border>
      <left style="thin">
        <color rgb="FFBFBFBF"/>
      </left>
      <right style="thin">
        <color rgb="FFD9D9D9"/>
      </right>
      <top style="thin">
        <color rgb="FFD9D9D9"/>
      </top>
      <bottom style="thin">
        <color rgb="FFD9D9D9"/>
      </bottom>
      <diagonal/>
    </border>
    <border>
      <left style="thin">
        <color rgb="FFBFBFBF"/>
      </left>
      <right style="thin">
        <color rgb="FFD9D9D9"/>
      </right>
      <top style="thin">
        <color rgb="FFD9D9D9"/>
      </top>
      <bottom style="thin">
        <color rgb="FFBFBFBF"/>
      </bottom>
      <diagonal/>
    </border>
    <border>
      <left style="thin">
        <color rgb="FFD9D9D9"/>
      </left>
      <right style="thin">
        <color rgb="FFBFBFBF"/>
      </right>
      <top style="thin">
        <color rgb="FFBFBFBF"/>
      </top>
      <bottom style="thin">
        <color rgb="FFD9D9D9"/>
      </bottom>
      <diagonal/>
    </border>
    <border>
      <left style="thin">
        <color rgb="FFD9D9D9"/>
      </left>
      <right style="thin">
        <color rgb="FFBFBFBF"/>
      </right>
      <top style="thin">
        <color rgb="FFD9D9D9"/>
      </top>
      <bottom style="thin">
        <color rgb="FFD9D9D9"/>
      </bottom>
      <diagonal/>
    </border>
    <border>
      <left style="thin">
        <color rgb="FFD9D9D9"/>
      </left>
      <right style="thin">
        <color rgb="FFBFBFBF"/>
      </right>
      <top style="thin">
        <color rgb="FFD9D9D9"/>
      </top>
      <bottom style="thin">
        <color rgb="FFBFBFBF"/>
      </bottom>
      <diagonal/>
    </border>
    <border>
      <left/>
      <right style="thin">
        <color rgb="FFD9D9D9"/>
      </right>
      <top/>
      <bottom/>
      <diagonal/>
    </border>
    <border>
      <left style="thin">
        <color rgb="FFD9D9D9"/>
      </left>
      <right style="thin">
        <color rgb="FFD9D9D9"/>
      </right>
      <top/>
      <bottom/>
      <diagonal/>
    </border>
    <border>
      <left style="thin">
        <color rgb="FFD9D9D9"/>
      </left>
      <right/>
      <top/>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6">
      <alignment horizontal="right" wrapText="1"/>
    </xf>
    <xf numFmtId="169" fontId="8" fillId="0" borderId="6" applyFill="0" applyBorder="0" applyProtection="0">
      <alignment horizontal="right" vertical="top"/>
    </xf>
    <xf numFmtId="170" fontId="9" fillId="0" borderId="6">
      <alignment horizontal="center"/>
    </xf>
    <xf numFmtId="0" fontId="8" fillId="0" borderId="0" applyFill="0" applyBorder="0">
      <alignment horizontal="left" vertical="top" wrapText="1"/>
    </xf>
    <xf numFmtId="170" fontId="8" fillId="0" borderId="0">
      <alignment horizontal="center"/>
    </xf>
    <xf numFmtId="171" fontId="8" fillId="0" borderId="0" applyFill="0" applyBorder="0">
      <alignment horizontal="right" vertical="top"/>
    </xf>
    <xf numFmtId="170" fontId="11" fillId="0" borderId="0">
      <alignment horizontal="left" vertical="top"/>
    </xf>
    <xf numFmtId="0" fontId="13" fillId="0" borderId="0" applyAlignment="0"/>
  </cellStyleXfs>
  <cellXfs count="441">
    <xf numFmtId="0" fontId="0" fillId="0" borderId="0" xfId="0"/>
    <xf numFmtId="0" fontId="2" fillId="0" borderId="0" xfId="0" applyFont="1"/>
    <xf numFmtId="0" fontId="4" fillId="0" borderId="0" xfId="3" applyFont="1" applyBorder="1" applyAlignment="1">
      <alignment horizontal="left" vertical="top" wrapText="1"/>
    </xf>
    <xf numFmtId="0" fontId="7" fillId="0" borderId="0" xfId="3" applyFont="1" applyBorder="1" applyAlignment="1">
      <alignment horizontal="right" vertical="top" wrapText="1"/>
    </xf>
    <xf numFmtId="49" fontId="2" fillId="0" borderId="0" xfId="4" applyNumberFormat="1" applyFont="1" applyBorder="1" applyAlignment="1">
      <alignment horizontal="left" vertical="top"/>
    </xf>
    <xf numFmtId="0" fontId="2" fillId="0" borderId="0" xfId="0" applyFont="1" applyAlignment="1">
      <alignment vertical="top"/>
    </xf>
    <xf numFmtId="0" fontId="4" fillId="0" borderId="0" xfId="3" applyFont="1" applyBorder="1" applyAlignment="1">
      <alignment horizontal="left" vertical="top"/>
    </xf>
    <xf numFmtId="0" fontId="4" fillId="0" borderId="6" xfId="3" applyFont="1" applyAlignment="1">
      <alignment horizontal="left" vertical="top" wrapText="1"/>
    </xf>
    <xf numFmtId="170" fontId="2" fillId="0" borderId="6" xfId="5" applyFont="1" applyAlignment="1">
      <alignment horizontal="center" vertical="top"/>
    </xf>
    <xf numFmtId="0" fontId="4" fillId="0" borderId="6" xfId="3" applyFont="1" applyAlignment="1">
      <alignment horizontal="right" vertical="top" wrapText="1"/>
    </xf>
    <xf numFmtId="170" fontId="2" fillId="0" borderId="0" xfId="6" applyNumberFormat="1" applyFont="1">
      <alignment horizontal="left" vertical="top" wrapText="1"/>
    </xf>
    <xf numFmtId="170" fontId="2" fillId="0" borderId="0" xfId="7" applyFont="1" applyAlignment="1">
      <alignment horizontal="center" vertical="top" wrapText="1"/>
    </xf>
    <xf numFmtId="166" fontId="10" fillId="0" borderId="0" xfId="2" applyNumberFormat="1" applyFont="1" applyAlignment="1">
      <alignment horizontal="right" vertical="top"/>
    </xf>
    <xf numFmtId="0" fontId="2" fillId="0" borderId="0" xfId="6" applyFont="1" applyAlignment="1">
      <alignment horizontal="left" vertical="top"/>
    </xf>
    <xf numFmtId="43" fontId="2" fillId="0" borderId="0" xfId="1" applyFont="1" applyAlignment="1">
      <alignment vertical="top"/>
    </xf>
    <xf numFmtId="170" fontId="2" fillId="0" borderId="7" xfId="6" applyNumberFormat="1" applyFont="1" applyBorder="1">
      <alignment horizontal="left" vertical="top" wrapText="1"/>
    </xf>
    <xf numFmtId="0" fontId="2" fillId="0" borderId="7" xfId="6" applyFont="1" applyBorder="1" applyAlignment="1">
      <alignment horizontal="left" vertical="top"/>
    </xf>
    <xf numFmtId="170" fontId="4" fillId="0" borderId="6" xfId="6" applyNumberFormat="1" applyFont="1" applyBorder="1">
      <alignment horizontal="left" vertical="top" wrapText="1"/>
    </xf>
    <xf numFmtId="0" fontId="4" fillId="0" borderId="6" xfId="0" applyFont="1" applyBorder="1" applyAlignment="1">
      <alignment vertical="top"/>
    </xf>
    <xf numFmtId="171" fontId="10" fillId="0" borderId="0" xfId="8" applyFont="1">
      <alignment horizontal="right" vertical="top"/>
    </xf>
    <xf numFmtId="170" fontId="12" fillId="0" borderId="0" xfId="9" applyFont="1">
      <alignment horizontal="left" vertical="top"/>
    </xf>
    <xf numFmtId="0" fontId="3" fillId="0" borderId="0" xfId="6" applyFont="1">
      <alignment horizontal="left" vertical="top" wrapText="1"/>
    </xf>
    <xf numFmtId="0" fontId="2" fillId="0" borderId="0" xfId="0" applyFont="1" applyAlignment="1">
      <alignment horizontal="left" vertical="top"/>
    </xf>
    <xf numFmtId="9" fontId="2" fillId="0" borderId="0" xfId="2" applyFont="1" applyAlignment="1">
      <alignment vertical="top"/>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right" vertical="top"/>
    </xf>
    <xf numFmtId="166" fontId="2" fillId="0" borderId="0" xfId="2" applyNumberFormat="1" applyFont="1" applyAlignment="1">
      <alignment vertical="top"/>
    </xf>
    <xf numFmtId="9" fontId="2" fillId="0" borderId="0" xfId="0" applyNumberFormat="1" applyFont="1" applyAlignment="1">
      <alignment vertical="top"/>
    </xf>
    <xf numFmtId="0" fontId="4" fillId="0" borderId="1" xfId="0" applyFont="1" applyBorder="1" applyAlignment="1">
      <alignment vertical="top"/>
    </xf>
    <xf numFmtId="0" fontId="14" fillId="0" borderId="0" xfId="10" applyFont="1" applyAlignment="1">
      <alignment vertical="top"/>
    </xf>
    <xf numFmtId="0" fontId="2" fillId="4" borderId="0" xfId="0" applyFont="1" applyFill="1" applyAlignment="1">
      <alignment vertical="top"/>
    </xf>
    <xf numFmtId="0" fontId="15" fillId="0" borderId="0" xfId="0" applyFont="1" applyAlignment="1">
      <alignment horizontal="left" vertical="top"/>
    </xf>
    <xf numFmtId="0" fontId="16" fillId="0" borderId="0" xfId="0" applyFont="1" applyAlignment="1">
      <alignment horizontal="left" vertical="top"/>
    </xf>
    <xf numFmtId="165" fontId="16" fillId="0" borderId="0" xfId="1" applyNumberFormat="1" applyFont="1" applyAlignment="1">
      <alignment horizontal="right" vertical="top" wrapText="1"/>
    </xf>
    <xf numFmtId="165" fontId="15" fillId="0" borderId="8" xfId="1" applyNumberFormat="1" applyFont="1" applyBorder="1" applyAlignment="1">
      <alignment horizontal="right" vertical="top" wrapText="1"/>
    </xf>
    <xf numFmtId="165" fontId="16" fillId="0" borderId="0" xfId="1" applyNumberFormat="1" applyFont="1" applyAlignment="1">
      <alignment horizontal="left" vertical="top"/>
    </xf>
    <xf numFmtId="165" fontId="2" fillId="0" borderId="0" xfId="1" applyNumberFormat="1" applyFont="1" applyAlignment="1">
      <alignment vertical="top"/>
    </xf>
    <xf numFmtId="0" fontId="5" fillId="0" borderId="0" xfId="0" applyFont="1" applyAlignment="1">
      <alignment vertical="top"/>
    </xf>
    <xf numFmtId="166" fontId="10" fillId="0" borderId="0" xfId="2" applyNumberFormat="1" applyFont="1" applyAlignment="1">
      <alignment vertical="top"/>
    </xf>
    <xf numFmtId="166" fontId="10" fillId="0" borderId="0" xfId="0" applyNumberFormat="1" applyFont="1" applyAlignment="1">
      <alignment vertical="top"/>
    </xf>
    <xf numFmtId="0" fontId="10" fillId="0" borderId="0" xfId="0" applyFont="1" applyAlignment="1">
      <alignment vertical="top"/>
    </xf>
    <xf numFmtId="43" fontId="2" fillId="0" borderId="0" xfId="0" applyNumberFormat="1" applyFont="1" applyAlignment="1">
      <alignment vertical="top"/>
    </xf>
    <xf numFmtId="166" fontId="2" fillId="0" borderId="0" xfId="0" applyNumberFormat="1" applyFont="1" applyAlignment="1">
      <alignment vertical="top"/>
    </xf>
    <xf numFmtId="165" fontId="2" fillId="0" borderId="0" xfId="0" applyNumberFormat="1" applyFont="1" applyAlignment="1">
      <alignment vertical="top"/>
    </xf>
    <xf numFmtId="15" fontId="4" fillId="0" borderId="0" xfId="0" applyNumberFormat="1" applyFont="1" applyAlignment="1">
      <alignment vertical="top"/>
    </xf>
    <xf numFmtId="15" fontId="2" fillId="0" borderId="0" xfId="0" applyNumberFormat="1" applyFont="1" applyAlignment="1">
      <alignment vertical="top"/>
    </xf>
    <xf numFmtId="165" fontId="2" fillId="0" borderId="1" xfId="1" applyNumberFormat="1" applyFont="1" applyBorder="1" applyAlignment="1">
      <alignment vertical="top"/>
    </xf>
    <xf numFmtId="165" fontId="15" fillId="0" borderId="0" xfId="1" applyNumberFormat="1" applyFont="1" applyAlignment="1">
      <alignment horizontal="right" vertical="top" wrapText="1"/>
    </xf>
    <xf numFmtId="0" fontId="3" fillId="0" borderId="0" xfId="0" applyFont="1" applyAlignment="1">
      <alignment vertical="top"/>
    </xf>
    <xf numFmtId="165" fontId="10" fillId="0" borderId="0" xfId="1" applyNumberFormat="1" applyFont="1" applyAlignment="1">
      <alignment horizontal="right" vertical="top"/>
    </xf>
    <xf numFmtId="165" fontId="2" fillId="0" borderId="0" xfId="1" applyNumberFormat="1" applyFont="1" applyAlignment="1">
      <alignment horizontal="left" vertical="top"/>
    </xf>
    <xf numFmtId="0" fontId="19" fillId="5" borderId="0" xfId="0" applyFont="1" applyFill="1" applyAlignment="1">
      <alignment vertical="top"/>
    </xf>
    <xf numFmtId="0" fontId="19" fillId="5" borderId="0" xfId="0" applyFont="1" applyFill="1" applyAlignment="1">
      <alignment vertical="top" wrapText="1"/>
    </xf>
    <xf numFmtId="0" fontId="19" fillId="5" borderId="0" xfId="0" applyFont="1" applyFill="1" applyAlignment="1">
      <alignment horizontal="right" vertical="top" wrapText="1"/>
    </xf>
    <xf numFmtId="15" fontId="4" fillId="0" borderId="0" xfId="0" applyNumberFormat="1" applyFont="1" applyAlignment="1">
      <alignment horizontal="right" vertical="top"/>
    </xf>
    <xf numFmtId="165" fontId="4" fillId="0" borderId="1" xfId="1" applyNumberFormat="1" applyFont="1" applyBorder="1" applyAlignment="1">
      <alignment vertical="top"/>
    </xf>
    <xf numFmtId="167" fontId="2" fillId="0" borderId="0" xfId="1" applyNumberFormat="1" applyFont="1" applyAlignment="1">
      <alignment vertical="top"/>
    </xf>
    <xf numFmtId="165" fontId="4" fillId="0" borderId="0" xfId="1" applyNumberFormat="1" applyFont="1" applyAlignment="1">
      <alignment vertical="top"/>
    </xf>
    <xf numFmtId="0" fontId="4" fillId="3" borderId="2" xfId="0" applyFont="1" applyFill="1" applyBorder="1" applyAlignment="1">
      <alignment vertical="top"/>
    </xf>
    <xf numFmtId="0" fontId="4" fillId="3" borderId="3" xfId="0" applyFont="1" applyFill="1" applyBorder="1" applyAlignment="1">
      <alignment vertical="top"/>
    </xf>
    <xf numFmtId="165" fontId="4" fillId="3" borderId="4" xfId="1" applyNumberFormat="1" applyFont="1" applyFill="1" applyBorder="1" applyAlignment="1">
      <alignment vertical="top"/>
    </xf>
    <xf numFmtId="168" fontId="2" fillId="0" borderId="0" xfId="1" applyNumberFormat="1" applyFont="1" applyAlignment="1">
      <alignment vertical="top"/>
    </xf>
    <xf numFmtId="0" fontId="4" fillId="0" borderId="5" xfId="0" applyFont="1" applyBorder="1" applyAlignment="1">
      <alignment horizontal="right" vertical="top"/>
    </xf>
    <xf numFmtId="166" fontId="10" fillId="2" borderId="0" xfId="2" applyNumberFormat="1" applyFont="1" applyFill="1" applyAlignment="1">
      <alignment horizontal="right" vertical="top"/>
    </xf>
    <xf numFmtId="43" fontId="16" fillId="0" borderId="0" xfId="1" applyFont="1" applyAlignment="1">
      <alignment horizontal="left" vertical="top"/>
    </xf>
    <xf numFmtId="166" fontId="2" fillId="0" borderId="0" xfId="1" applyNumberFormat="1" applyFont="1" applyAlignment="1">
      <alignment vertical="top"/>
    </xf>
    <xf numFmtId="173" fontId="2" fillId="0" borderId="0" xfId="0" applyNumberFormat="1" applyFont="1" applyAlignment="1">
      <alignment vertical="top"/>
    </xf>
    <xf numFmtId="165" fontId="2" fillId="0" borderId="0" xfId="1" applyNumberFormat="1" applyFont="1" applyBorder="1" applyAlignment="1">
      <alignment vertical="top"/>
    </xf>
    <xf numFmtId="174" fontId="2" fillId="0" borderId="0" xfId="0" applyNumberFormat="1" applyFont="1" applyAlignment="1">
      <alignment vertical="top"/>
    </xf>
    <xf numFmtId="165" fontId="4" fillId="0" borderId="0" xfId="0" applyNumberFormat="1" applyFont="1" applyAlignment="1">
      <alignment vertical="top"/>
    </xf>
    <xf numFmtId="165" fontId="16" fillId="0" borderId="0" xfId="1" applyNumberFormat="1" applyFont="1" applyAlignment="1">
      <alignment horizontal="left" vertical="top" wrapText="1"/>
    </xf>
    <xf numFmtId="0" fontId="20" fillId="5" borderId="0" xfId="0" applyFont="1" applyFill="1" applyAlignment="1">
      <alignment horizontal="left" vertical="top" wrapText="1"/>
    </xf>
    <xf numFmtId="165" fontId="15" fillId="0" borderId="0" xfId="1" applyNumberFormat="1" applyFont="1" applyAlignment="1">
      <alignment horizontal="left" vertical="top" wrapText="1"/>
    </xf>
    <xf numFmtId="10" fontId="22" fillId="0" borderId="0" xfId="2" applyNumberFormat="1" applyFont="1" applyAlignment="1">
      <alignment horizontal="right" vertical="top" wrapText="1"/>
    </xf>
    <xf numFmtId="165" fontId="22" fillId="0" borderId="0" xfId="1" applyNumberFormat="1" applyFont="1" applyAlignment="1">
      <alignment horizontal="left" vertical="top" wrapText="1" indent="1"/>
    </xf>
    <xf numFmtId="166" fontId="22" fillId="0" borderId="0" xfId="2" applyNumberFormat="1" applyFont="1" applyAlignment="1">
      <alignment horizontal="right" vertical="top" wrapText="1"/>
    </xf>
    <xf numFmtId="165" fontId="22" fillId="0" borderId="0" xfId="1" applyNumberFormat="1" applyFont="1" applyAlignment="1">
      <alignment horizontal="left" vertical="top" wrapText="1" indent="2"/>
    </xf>
    <xf numFmtId="165" fontId="22" fillId="0" borderId="0" xfId="1" applyNumberFormat="1" applyFont="1" applyAlignment="1">
      <alignment horizontal="left" vertical="top" wrapText="1" indent="3"/>
    </xf>
    <xf numFmtId="166" fontId="16" fillId="0" borderId="0" xfId="2" applyNumberFormat="1" applyFont="1" applyAlignment="1">
      <alignment horizontal="right" vertical="top" wrapText="1"/>
    </xf>
    <xf numFmtId="165" fontId="15" fillId="0" borderId="0" xfId="1" applyNumberFormat="1" applyFont="1" applyBorder="1" applyAlignment="1">
      <alignment horizontal="right" vertical="top" wrapText="1"/>
    </xf>
    <xf numFmtId="0" fontId="16" fillId="0" borderId="0" xfId="0" applyFont="1" applyAlignment="1">
      <alignment horizontal="left" vertical="top" indent="2"/>
    </xf>
    <xf numFmtId="166" fontId="10" fillId="0" borderId="0" xfId="2" applyNumberFormat="1" applyFont="1" applyFill="1" applyAlignment="1">
      <alignment horizontal="right" vertical="top"/>
    </xf>
    <xf numFmtId="0" fontId="16" fillId="0" borderId="0" xfId="0" applyFont="1" applyAlignment="1">
      <alignment horizontal="left" vertical="top" indent="1"/>
    </xf>
    <xf numFmtId="165" fontId="15" fillId="0" borderId="0" xfId="1" applyNumberFormat="1" applyFont="1" applyAlignment="1">
      <alignment horizontal="left" vertical="top"/>
    </xf>
    <xf numFmtId="0" fontId="25" fillId="0" borderId="0" xfId="0" applyFont="1" applyAlignment="1">
      <alignment vertical="top"/>
    </xf>
    <xf numFmtId="166" fontId="25" fillId="0" borderId="0" xfId="2" applyNumberFormat="1" applyFont="1" applyAlignment="1">
      <alignment vertical="top"/>
    </xf>
    <xf numFmtId="166" fontId="26" fillId="0" borderId="0" xfId="2" applyNumberFormat="1" applyFont="1" applyAlignment="1">
      <alignment vertical="top"/>
    </xf>
    <xf numFmtId="0" fontId="27" fillId="0" borderId="0" xfId="0" applyFont="1" applyAlignment="1">
      <alignment vertical="top"/>
    </xf>
    <xf numFmtId="165" fontId="10" fillId="0" borderId="0" xfId="1" applyNumberFormat="1" applyFont="1" applyAlignment="1">
      <alignment vertical="top"/>
    </xf>
    <xf numFmtId="165" fontId="16" fillId="0" borderId="0" xfId="1" applyNumberFormat="1" applyFont="1" applyFill="1" applyAlignment="1">
      <alignment horizontal="right" vertical="top" wrapText="1"/>
    </xf>
    <xf numFmtId="166" fontId="16" fillId="0" borderId="0" xfId="2" applyNumberFormat="1" applyFont="1" applyFill="1" applyAlignment="1">
      <alignment horizontal="right" vertical="top" wrapText="1"/>
    </xf>
    <xf numFmtId="165" fontId="16" fillId="6" borderId="0" xfId="1" applyNumberFormat="1" applyFont="1" applyFill="1" applyAlignment="1">
      <alignment horizontal="right" vertical="top" wrapText="1"/>
    </xf>
    <xf numFmtId="166" fontId="16" fillId="6" borderId="0" xfId="2" applyNumberFormat="1" applyFont="1" applyFill="1" applyAlignment="1">
      <alignment horizontal="right" vertical="top" wrapText="1"/>
    </xf>
    <xf numFmtId="165" fontId="15" fillId="6" borderId="0" xfId="1" applyNumberFormat="1" applyFont="1" applyFill="1" applyAlignment="1">
      <alignment horizontal="right" vertical="top" wrapText="1"/>
    </xf>
    <xf numFmtId="9" fontId="16" fillId="6" borderId="0" xfId="2" applyFont="1" applyFill="1" applyAlignment="1">
      <alignment horizontal="right" vertical="top" wrapText="1"/>
    </xf>
    <xf numFmtId="165" fontId="16" fillId="0" borderId="0" xfId="1" applyNumberFormat="1" applyFont="1" applyAlignment="1">
      <alignment horizontal="right" vertical="top"/>
    </xf>
    <xf numFmtId="165" fontId="16" fillId="0" borderId="9" xfId="1" applyNumberFormat="1" applyFont="1" applyBorder="1" applyAlignment="1">
      <alignment horizontal="right" vertical="top" wrapText="1"/>
    </xf>
    <xf numFmtId="43" fontId="15" fillId="0" borderId="0" xfId="1" applyFont="1" applyAlignment="1">
      <alignment horizontal="right" vertical="top" wrapText="1"/>
    </xf>
    <xf numFmtId="165" fontId="17" fillId="0" borderId="0" xfId="1" applyNumberFormat="1" applyFont="1" applyBorder="1" applyAlignment="1">
      <alignment horizontal="right" vertical="top" wrapText="1"/>
    </xf>
    <xf numFmtId="165" fontId="16" fillId="0" borderId="0" xfId="1" applyNumberFormat="1" applyFont="1" applyBorder="1" applyAlignment="1">
      <alignment horizontal="right" vertical="top"/>
    </xf>
    <xf numFmtId="165" fontId="29" fillId="0" borderId="0" xfId="1" applyNumberFormat="1" applyFont="1" applyBorder="1" applyAlignment="1">
      <alignment horizontal="right" vertical="top"/>
    </xf>
    <xf numFmtId="165" fontId="15" fillId="0" borderId="10" xfId="1" applyNumberFormat="1" applyFont="1" applyBorder="1" applyAlignment="1">
      <alignment horizontal="right" vertical="top" wrapText="1"/>
    </xf>
    <xf numFmtId="165" fontId="28" fillId="0" borderId="0" xfId="1" applyNumberFormat="1" applyFont="1" applyBorder="1" applyAlignment="1">
      <alignment horizontal="right" vertical="top"/>
    </xf>
    <xf numFmtId="165" fontId="28" fillId="0" borderId="0" xfId="1" applyNumberFormat="1" applyFont="1" applyAlignment="1">
      <alignment horizontal="right" vertical="top" wrapText="1"/>
    </xf>
    <xf numFmtId="176" fontId="10" fillId="0" borderId="0" xfId="1" applyNumberFormat="1" applyFont="1" applyAlignment="1">
      <alignment vertical="top"/>
    </xf>
    <xf numFmtId="15" fontId="19" fillId="9" borderId="0" xfId="0" applyNumberFormat="1" applyFont="1" applyFill="1" applyAlignment="1">
      <alignment horizontal="center" vertical="top" wrapText="1"/>
    </xf>
    <xf numFmtId="0" fontId="2" fillId="10" borderId="0" xfId="0" applyFont="1" applyFill="1" applyAlignment="1">
      <alignment vertical="top"/>
    </xf>
    <xf numFmtId="165" fontId="4" fillId="10" borderId="0" xfId="1" applyNumberFormat="1" applyFont="1" applyFill="1" applyAlignment="1">
      <alignment vertical="top"/>
    </xf>
    <xf numFmtId="165" fontId="2" fillId="10" borderId="0" xfId="1" applyNumberFormat="1" applyFont="1" applyFill="1" applyAlignment="1">
      <alignment vertical="top"/>
    </xf>
    <xf numFmtId="165" fontId="15" fillId="10" borderId="0" xfId="1" applyNumberFormat="1" applyFont="1" applyFill="1" applyAlignment="1">
      <alignment horizontal="left" vertical="top"/>
    </xf>
    <xf numFmtId="165" fontId="15" fillId="10" borderId="0" xfId="1" applyNumberFormat="1" applyFont="1" applyFill="1" applyBorder="1" applyAlignment="1">
      <alignment horizontal="right" vertical="top" wrapText="1"/>
    </xf>
    <xf numFmtId="43" fontId="15" fillId="10" borderId="0" xfId="1" applyFont="1" applyFill="1" applyBorder="1" applyAlignment="1">
      <alignment horizontal="right" vertical="top" wrapText="1"/>
    </xf>
    <xf numFmtId="175" fontId="4" fillId="10" borderId="0" xfId="0" applyNumberFormat="1" applyFont="1" applyFill="1" applyAlignment="1">
      <alignment vertical="top"/>
    </xf>
    <xf numFmtId="0" fontId="4" fillId="10" borderId="0" xfId="0" applyFont="1" applyFill="1" applyAlignment="1">
      <alignment vertical="top"/>
    </xf>
    <xf numFmtId="9" fontId="2" fillId="10" borderId="0" xfId="0" applyNumberFormat="1" applyFont="1" applyFill="1" applyAlignment="1">
      <alignment vertical="top"/>
    </xf>
    <xf numFmtId="166" fontId="10" fillId="10" borderId="0" xfId="0" applyNumberFormat="1" applyFont="1" applyFill="1" applyAlignment="1">
      <alignment vertical="top"/>
    </xf>
    <xf numFmtId="166" fontId="10" fillId="10" borderId="0" xfId="2" applyNumberFormat="1" applyFont="1" applyFill="1" applyAlignment="1">
      <alignment horizontal="right" vertical="top"/>
    </xf>
    <xf numFmtId="0" fontId="10" fillId="10" borderId="0" xfId="0" applyFont="1" applyFill="1" applyAlignment="1">
      <alignment vertical="top"/>
    </xf>
    <xf numFmtId="166" fontId="10" fillId="10" borderId="0" xfId="2" applyNumberFormat="1" applyFont="1" applyFill="1" applyAlignment="1">
      <alignment vertical="top"/>
    </xf>
    <xf numFmtId="166" fontId="5" fillId="10" borderId="0" xfId="0" applyNumberFormat="1" applyFont="1" applyFill="1" applyAlignment="1">
      <alignment vertical="top"/>
    </xf>
    <xf numFmtId="165" fontId="2" fillId="10" borderId="0" xfId="0" applyNumberFormat="1" applyFont="1" applyFill="1" applyAlignment="1">
      <alignment vertical="top"/>
    </xf>
    <xf numFmtId="165" fontId="16" fillId="10" borderId="0" xfId="1" applyNumberFormat="1" applyFont="1" applyFill="1" applyAlignment="1">
      <alignment horizontal="right" vertical="top" wrapText="1"/>
    </xf>
    <xf numFmtId="166" fontId="16" fillId="10" borderId="0" xfId="2" applyNumberFormat="1" applyFont="1" applyFill="1" applyAlignment="1">
      <alignment horizontal="right" vertical="top" wrapText="1"/>
    </xf>
    <xf numFmtId="165" fontId="15" fillId="10" borderId="0" xfId="1" applyNumberFormat="1" applyFont="1" applyFill="1" applyAlignment="1">
      <alignment horizontal="right" vertical="top" wrapText="1"/>
    </xf>
    <xf numFmtId="172" fontId="19" fillId="5" borderId="0" xfId="0" applyNumberFormat="1" applyFont="1" applyFill="1" applyAlignment="1">
      <alignment horizontal="center" vertical="top" wrapText="1"/>
    </xf>
    <xf numFmtId="172" fontId="19" fillId="9" borderId="0" xfId="0" applyNumberFormat="1" applyFont="1" applyFill="1" applyAlignment="1">
      <alignment horizontal="center" vertical="top" wrapText="1"/>
    </xf>
    <xf numFmtId="165" fontId="2" fillId="10" borderId="11" xfId="1" applyNumberFormat="1" applyFont="1" applyFill="1" applyBorder="1" applyAlignment="1">
      <alignment vertical="top"/>
    </xf>
    <xf numFmtId="165" fontId="4" fillId="10" borderId="0" xfId="0" applyNumberFormat="1" applyFont="1" applyFill="1" applyAlignment="1">
      <alignment vertical="top"/>
    </xf>
    <xf numFmtId="166" fontId="2" fillId="10" borderId="0" xfId="0" applyNumberFormat="1" applyFont="1" applyFill="1" applyAlignment="1">
      <alignment vertical="top"/>
    </xf>
    <xf numFmtId="176" fontId="10" fillId="10" borderId="0" xfId="0" applyNumberFormat="1" applyFont="1" applyFill="1" applyAlignment="1">
      <alignment vertical="top"/>
    </xf>
    <xf numFmtId="166" fontId="16" fillId="7" borderId="12" xfId="2" applyNumberFormat="1" applyFont="1" applyFill="1" applyBorder="1" applyAlignment="1">
      <alignment horizontal="right" vertical="top" wrapText="1"/>
    </xf>
    <xf numFmtId="166" fontId="10" fillId="7" borderId="12" xfId="2" applyNumberFormat="1" applyFont="1" applyFill="1" applyBorder="1" applyAlignment="1">
      <alignment vertical="top"/>
    </xf>
    <xf numFmtId="176" fontId="10" fillId="7" borderId="12" xfId="0" applyNumberFormat="1" applyFont="1" applyFill="1" applyBorder="1" applyAlignment="1">
      <alignment vertical="top"/>
    </xf>
    <xf numFmtId="165" fontId="2" fillId="6" borderId="0" xfId="1" applyNumberFormat="1" applyFont="1" applyFill="1" applyAlignment="1">
      <alignment vertical="top"/>
    </xf>
    <xf numFmtId="0" fontId="2" fillId="0" borderId="0" xfId="0" applyFont="1" applyAlignment="1">
      <alignment horizontal="left" vertical="top" indent="2"/>
    </xf>
    <xf numFmtId="0" fontId="2" fillId="0" borderId="11" xfId="0" applyFont="1" applyBorder="1" applyAlignment="1">
      <alignment vertical="top"/>
    </xf>
    <xf numFmtId="165" fontId="2" fillId="0" borderId="11" xfId="1" applyNumberFormat="1" applyFont="1" applyBorder="1" applyAlignment="1">
      <alignment vertical="top"/>
    </xf>
    <xf numFmtId="165" fontId="4" fillId="10" borderId="0" xfId="1" applyNumberFormat="1" applyFont="1" applyFill="1" applyBorder="1" applyAlignment="1">
      <alignment vertical="top"/>
    </xf>
    <xf numFmtId="164" fontId="4" fillId="10" borderId="0" xfId="0" applyNumberFormat="1" applyFont="1" applyFill="1" applyAlignment="1">
      <alignment vertical="top"/>
    </xf>
    <xf numFmtId="0" fontId="24" fillId="0" borderId="0" xfId="0" applyFont="1" applyAlignment="1">
      <alignment horizontal="left" vertical="top"/>
    </xf>
    <xf numFmtId="165" fontId="24" fillId="0" borderId="0" xfId="1" applyNumberFormat="1" applyFont="1" applyAlignment="1">
      <alignment horizontal="right" vertical="top" wrapText="1"/>
    </xf>
    <xf numFmtId="0" fontId="24" fillId="0" borderId="0" xfId="0" applyFont="1" applyAlignment="1">
      <alignment horizontal="left" vertical="top" indent="1"/>
    </xf>
    <xf numFmtId="0" fontId="34" fillId="0" borderId="0" xfId="0" applyFont="1" applyAlignment="1">
      <alignment horizontal="left" vertical="top"/>
    </xf>
    <xf numFmtId="165" fontId="2" fillId="0" borderId="0" xfId="1" applyNumberFormat="1" applyFont="1" applyFill="1" applyAlignment="1">
      <alignment vertical="top"/>
    </xf>
    <xf numFmtId="0" fontId="24" fillId="0" borderId="0" xfId="0" applyFont="1" applyAlignment="1">
      <alignment vertical="top"/>
    </xf>
    <xf numFmtId="0" fontId="35" fillId="0" borderId="0" xfId="0" applyFont="1" applyAlignment="1">
      <alignment horizontal="left" vertical="top" indent="2"/>
    </xf>
    <xf numFmtId="165" fontId="24" fillId="0" borderId="0" xfId="1" applyNumberFormat="1" applyFont="1" applyAlignment="1">
      <alignment horizontal="left" vertical="top"/>
    </xf>
    <xf numFmtId="165" fontId="34" fillId="0" borderId="0" xfId="1" applyNumberFormat="1" applyFont="1" applyBorder="1" applyAlignment="1">
      <alignment horizontal="right" vertical="top" wrapText="1"/>
    </xf>
    <xf numFmtId="165" fontId="34" fillId="10" borderId="0" xfId="1" applyNumberFormat="1" applyFont="1" applyFill="1" applyBorder="1" applyAlignment="1">
      <alignment horizontal="right" vertical="top" wrapText="1"/>
    </xf>
    <xf numFmtId="0" fontId="35" fillId="0" borderId="0" xfId="0" applyFont="1" applyAlignment="1">
      <alignment vertical="top"/>
    </xf>
    <xf numFmtId="0" fontId="4" fillId="0" borderId="0" xfId="0" applyFont="1" applyAlignment="1">
      <alignment horizontal="left" vertical="top"/>
    </xf>
    <xf numFmtId="165" fontId="15" fillId="0" borderId="0" xfId="1" applyNumberFormat="1" applyFont="1" applyFill="1" applyAlignment="1">
      <alignment horizontal="right" vertical="top" wrapText="1"/>
    </xf>
    <xf numFmtId="0" fontId="18" fillId="0" borderId="0" xfId="0" applyFont="1" applyAlignment="1">
      <alignment vertical="top"/>
    </xf>
    <xf numFmtId="164" fontId="2" fillId="10" borderId="0" xfId="0" applyNumberFormat="1" applyFont="1" applyFill="1" applyAlignment="1">
      <alignment vertical="top"/>
    </xf>
    <xf numFmtId="168" fontId="15" fillId="0" borderId="0" xfId="1" applyNumberFormat="1" applyFont="1" applyAlignment="1">
      <alignment horizontal="left" vertical="top"/>
    </xf>
    <xf numFmtId="168" fontId="15" fillId="10" borderId="0" xfId="1" applyNumberFormat="1" applyFont="1" applyFill="1" applyAlignment="1">
      <alignment horizontal="left" vertical="top"/>
    </xf>
    <xf numFmtId="168" fontId="4" fillId="6" borderId="0" xfId="1" applyNumberFormat="1" applyFont="1" applyFill="1" applyAlignment="1">
      <alignment vertical="top"/>
    </xf>
    <xf numFmtId="165" fontId="4" fillId="6" borderId="0" xfId="1" applyNumberFormat="1" applyFont="1" applyFill="1" applyAlignment="1">
      <alignment vertical="top"/>
    </xf>
    <xf numFmtId="164" fontId="4" fillId="6" borderId="0" xfId="0" applyNumberFormat="1" applyFont="1" applyFill="1" applyAlignment="1">
      <alignment vertical="top"/>
    </xf>
    <xf numFmtId="165" fontId="15" fillId="10" borderId="10" xfId="1" applyNumberFormat="1" applyFont="1" applyFill="1" applyBorder="1" applyAlignment="1">
      <alignment horizontal="right" vertical="top" wrapText="1"/>
    </xf>
    <xf numFmtId="15" fontId="4" fillId="0" borderId="0" xfId="0" applyNumberFormat="1" applyFont="1" applyAlignment="1">
      <alignment horizontal="center" vertical="top"/>
    </xf>
    <xf numFmtId="177" fontId="19" fillId="5" borderId="0" xfId="0" applyNumberFormat="1" applyFont="1" applyFill="1" applyAlignment="1">
      <alignment horizontal="center" vertical="top"/>
    </xf>
    <xf numFmtId="177" fontId="19" fillId="9" borderId="0" xfId="0" applyNumberFormat="1" applyFont="1" applyFill="1" applyAlignment="1">
      <alignment horizontal="center" vertical="top"/>
    </xf>
    <xf numFmtId="0" fontId="19" fillId="0" borderId="0" xfId="0" applyFont="1" applyAlignment="1">
      <alignment horizontal="center" vertical="top" wrapText="1"/>
    </xf>
    <xf numFmtId="15" fontId="19" fillId="5" borderId="0" xfId="0" applyNumberFormat="1" applyFont="1" applyFill="1" applyAlignment="1">
      <alignment horizontal="center" vertical="top" wrapText="1"/>
    </xf>
    <xf numFmtId="177" fontId="4" fillId="0" borderId="0" xfId="0" applyNumberFormat="1" applyFont="1" applyAlignment="1">
      <alignment horizontal="center" vertical="top"/>
    </xf>
    <xf numFmtId="166" fontId="2" fillId="6" borderId="0" xfId="0" applyNumberFormat="1" applyFont="1" applyFill="1" applyAlignment="1">
      <alignment vertical="top"/>
    </xf>
    <xf numFmtId="0" fontId="4" fillId="0" borderId="20" xfId="0" applyFont="1" applyBorder="1" applyAlignment="1">
      <alignment vertical="top"/>
    </xf>
    <xf numFmtId="0" fontId="4" fillId="0" borderId="0" xfId="0" applyFont="1" applyAlignment="1">
      <alignment horizontal="center" vertical="top"/>
    </xf>
    <xf numFmtId="0" fontId="4" fillId="11" borderId="0" xfId="0" applyFont="1" applyFill="1" applyAlignment="1">
      <alignment horizontal="center" vertical="top"/>
    </xf>
    <xf numFmtId="17" fontId="2" fillId="0" borderId="0" xfId="0" applyNumberFormat="1" applyFont="1" applyAlignment="1">
      <alignment horizontal="left" vertical="top" indent="1"/>
    </xf>
    <xf numFmtId="3" fontId="2" fillId="0" borderId="0" xfId="0" applyNumberFormat="1" applyFont="1" applyAlignment="1">
      <alignment vertical="top"/>
    </xf>
    <xf numFmtId="178" fontId="2" fillId="0" borderId="0" xfId="0" applyNumberFormat="1" applyFont="1" applyAlignment="1">
      <alignment horizontal="left" vertical="top" indent="1"/>
    </xf>
    <xf numFmtId="166" fontId="2" fillId="0" borderId="11" xfId="0" applyNumberFormat="1" applyFont="1" applyBorder="1" applyAlignment="1">
      <alignment vertical="top"/>
    </xf>
    <xf numFmtId="43" fontId="4" fillId="0" borderId="0" xfId="1" applyFont="1" applyBorder="1" applyAlignment="1">
      <alignment vertical="top"/>
    </xf>
    <xf numFmtId="166" fontId="2" fillId="0" borderId="0" xfId="2" applyNumberFormat="1" applyFont="1" applyBorder="1" applyAlignment="1">
      <alignment vertical="top"/>
    </xf>
    <xf numFmtId="166" fontId="2" fillId="0" borderId="0" xfId="2" applyNumberFormat="1" applyFont="1" applyBorder="1" applyAlignment="1">
      <alignment horizontal="right" vertical="top"/>
    </xf>
    <xf numFmtId="10" fontId="10" fillId="0" borderId="0" xfId="2" applyNumberFormat="1" applyFont="1" applyAlignment="1">
      <alignment horizontal="right" vertical="top" wrapText="1"/>
    </xf>
    <xf numFmtId="179" fontId="2" fillId="0" borderId="0" xfId="7" applyNumberFormat="1" applyFont="1" applyAlignment="1">
      <alignment horizontal="center" vertical="top" wrapText="1"/>
    </xf>
    <xf numFmtId="170" fontId="37" fillId="0" borderId="0" xfId="9" applyFont="1">
      <alignment horizontal="left" vertical="top"/>
    </xf>
    <xf numFmtId="170" fontId="4" fillId="0" borderId="6" xfId="5" applyFont="1" applyAlignment="1">
      <alignment horizontal="center" vertical="top"/>
    </xf>
    <xf numFmtId="0" fontId="4" fillId="0" borderId="23" xfId="0" applyFont="1" applyBorder="1" applyAlignment="1">
      <alignment vertical="top" wrapText="1"/>
    </xf>
    <xf numFmtId="0" fontId="4" fillId="0" borderId="23" xfId="0" applyFont="1" applyBorder="1" applyAlignment="1">
      <alignment horizontal="right" vertical="top" wrapText="1"/>
    </xf>
    <xf numFmtId="0" fontId="4" fillId="0" borderId="23" xfId="0" applyFont="1" applyBorder="1" applyAlignment="1">
      <alignment horizontal="center" vertical="top" wrapText="1"/>
    </xf>
    <xf numFmtId="0" fontId="2" fillId="0" borderId="24" xfId="0" applyFont="1" applyBorder="1" applyAlignment="1">
      <alignment vertical="top"/>
    </xf>
    <xf numFmtId="43" fontId="2" fillId="0" borderId="24" xfId="1" applyFont="1" applyBorder="1" applyAlignment="1">
      <alignment vertical="top"/>
    </xf>
    <xf numFmtId="43" fontId="2" fillId="0" borderId="0" xfId="1" applyFont="1" applyAlignment="1">
      <alignment horizontal="left" vertical="top"/>
    </xf>
    <xf numFmtId="166" fontId="2" fillId="6" borderId="0" xfId="2" applyNumberFormat="1" applyFont="1" applyFill="1" applyAlignment="1">
      <alignment horizontal="center" vertical="top" wrapText="1"/>
    </xf>
    <xf numFmtId="10" fontId="2" fillId="0" borderId="0" xfId="0" applyNumberFormat="1" applyFont="1" applyAlignment="1">
      <alignment vertical="top"/>
    </xf>
    <xf numFmtId="165" fontId="2" fillId="6" borderId="0" xfId="0" applyNumberFormat="1" applyFont="1" applyFill="1" applyAlignment="1">
      <alignment vertical="top"/>
    </xf>
    <xf numFmtId="10" fontId="2" fillId="0" borderId="11" xfId="0" applyNumberFormat="1" applyFont="1" applyBorder="1" applyAlignment="1">
      <alignment vertical="top"/>
    </xf>
    <xf numFmtId="10" fontId="2" fillId="0" borderId="25" xfId="0" applyNumberFormat="1" applyFont="1" applyBorder="1" applyAlignment="1">
      <alignment vertical="top"/>
    </xf>
    <xf numFmtId="168" fontId="2" fillId="0" borderId="0" xfId="0" applyNumberFormat="1" applyFont="1" applyAlignment="1">
      <alignment vertical="top"/>
    </xf>
    <xf numFmtId="165" fontId="2" fillId="6" borderId="12" xfId="0" applyNumberFormat="1" applyFont="1" applyFill="1" applyBorder="1" applyAlignment="1">
      <alignment vertical="top"/>
    </xf>
    <xf numFmtId="180" fontId="2" fillId="0" borderId="25" xfId="1" applyNumberFormat="1" applyFont="1" applyBorder="1" applyAlignment="1">
      <alignment vertical="top"/>
    </xf>
    <xf numFmtId="168" fontId="2" fillId="0" borderId="0" xfId="1" applyNumberFormat="1" applyFont="1" applyFill="1" applyBorder="1" applyAlignment="1">
      <alignment vertical="top"/>
    </xf>
    <xf numFmtId="170" fontId="2" fillId="0" borderId="0" xfId="6" applyNumberFormat="1" applyFont="1" applyFill="1">
      <alignment horizontal="left" vertical="top" wrapText="1"/>
    </xf>
    <xf numFmtId="170" fontId="37" fillId="0" borderId="0" xfId="9" applyFont="1" applyAlignment="1">
      <alignment horizontal="center" vertical="top" wrapText="1"/>
    </xf>
    <xf numFmtId="0" fontId="39" fillId="0" borderId="0" xfId="0" applyFont="1" applyAlignment="1">
      <alignment vertical="top"/>
    </xf>
    <xf numFmtId="165" fontId="39" fillId="0" borderId="0" xfId="1" applyNumberFormat="1" applyFont="1" applyAlignment="1">
      <alignment horizontal="center" vertical="top" wrapText="1"/>
    </xf>
    <xf numFmtId="181" fontId="2" fillId="0" borderId="0" xfId="0" applyNumberFormat="1" applyFont="1" applyAlignment="1">
      <alignment vertical="top"/>
    </xf>
    <xf numFmtId="165" fontId="35" fillId="0" borderId="0" xfId="1" applyNumberFormat="1" applyFont="1" applyAlignment="1">
      <alignment horizontal="right" vertical="top" wrapText="1"/>
    </xf>
    <xf numFmtId="165" fontId="39" fillId="0" borderId="0" xfId="1" applyNumberFormat="1" applyFont="1" applyAlignment="1">
      <alignment vertical="top"/>
    </xf>
    <xf numFmtId="0" fontId="19" fillId="0" borderId="0" xfId="0" applyFont="1" applyAlignment="1">
      <alignment vertical="top"/>
    </xf>
    <xf numFmtId="0" fontId="32" fillId="0" borderId="0" xfId="10" applyFont="1" applyAlignment="1">
      <alignment horizontal="center" vertical="top"/>
    </xf>
    <xf numFmtId="0" fontId="4" fillId="4" borderId="0" xfId="0" applyFont="1" applyFill="1"/>
    <xf numFmtId="0" fontId="2" fillId="11" borderId="0" xfId="0" applyFont="1" applyFill="1"/>
    <xf numFmtId="0" fontId="2" fillId="4" borderId="0" xfId="0" applyFont="1" applyFill="1"/>
    <xf numFmtId="0" fontId="2" fillId="4" borderId="11" xfId="0" applyFont="1" applyFill="1" applyBorder="1" applyAlignment="1">
      <alignment horizontal="center" vertical="center"/>
    </xf>
    <xf numFmtId="0" fontId="2" fillId="4" borderId="11" xfId="0" applyFont="1" applyFill="1" applyBorder="1" applyAlignment="1">
      <alignment horizontal="center"/>
    </xf>
    <xf numFmtId="0" fontId="39" fillId="0" borderId="0" xfId="0" applyFont="1" applyAlignment="1">
      <alignment horizontal="center"/>
    </xf>
    <xf numFmtId="0" fontId="40" fillId="0" borderId="0" xfId="0" applyFont="1" applyAlignment="1">
      <alignment horizontal="left"/>
    </xf>
    <xf numFmtId="0" fontId="39" fillId="0" borderId="0" xfId="0" applyFont="1" applyAlignment="1">
      <alignment horizontal="left"/>
    </xf>
    <xf numFmtId="0" fontId="2" fillId="0" borderId="0" xfId="0" applyFont="1" applyAlignment="1">
      <alignment horizontal="center"/>
    </xf>
    <xf numFmtId="165" fontId="2" fillId="0" borderId="0" xfId="1" applyNumberFormat="1" applyFont="1"/>
    <xf numFmtId="165" fontId="36" fillId="0" borderId="0" xfId="1" applyNumberFormat="1" applyFont="1"/>
    <xf numFmtId="9" fontId="39" fillId="6" borderId="0" xfId="0" applyNumberFormat="1" applyFont="1" applyFill="1"/>
    <xf numFmtId="165" fontId="2" fillId="0" borderId="0" xfId="0" applyNumberFormat="1" applyFont="1"/>
    <xf numFmtId="165" fontId="41" fillId="0" borderId="0" xfId="1" applyNumberFormat="1" applyFont="1"/>
    <xf numFmtId="0" fontId="4" fillId="0" borderId="0" xfId="0" applyFont="1"/>
    <xf numFmtId="165" fontId="4" fillId="0" borderId="0" xfId="0" applyNumberFormat="1" applyFont="1"/>
    <xf numFmtId="177" fontId="2" fillId="12" borderId="0" xfId="0" applyNumberFormat="1" applyFont="1" applyFill="1"/>
    <xf numFmtId="15" fontId="2" fillId="0" borderId="0" xfId="0" applyNumberFormat="1" applyFont="1"/>
    <xf numFmtId="172" fontId="2" fillId="4" borderId="0" xfId="0" applyNumberFormat="1" applyFont="1" applyFill="1"/>
    <xf numFmtId="10" fontId="2" fillId="0" borderId="0" xfId="0" applyNumberFormat="1" applyFont="1" applyAlignment="1">
      <alignment horizontal="center"/>
    </xf>
    <xf numFmtId="168" fontId="2" fillId="0" borderId="0" xfId="0" applyNumberFormat="1" applyFont="1"/>
    <xf numFmtId="10" fontId="2" fillId="0" borderId="0" xfId="0" applyNumberFormat="1" applyFont="1"/>
    <xf numFmtId="165" fontId="4" fillId="0" borderId="10" xfId="0" applyNumberFormat="1" applyFont="1" applyBorder="1"/>
    <xf numFmtId="0" fontId="4" fillId="0" borderId="0" xfId="0" applyFont="1" applyAlignment="1">
      <alignment horizontal="center"/>
    </xf>
    <xf numFmtId="177" fontId="19" fillId="9" borderId="0" xfId="0" applyNumberFormat="1" applyFont="1" applyFill="1" applyAlignment="1">
      <alignment horizontal="center"/>
    </xf>
    <xf numFmtId="165" fontId="4" fillId="0" borderId="10" xfId="1" applyNumberFormat="1" applyFont="1" applyBorder="1"/>
    <xf numFmtId="10" fontId="42" fillId="6" borderId="0" xfId="2" applyNumberFormat="1" applyFont="1" applyFill="1"/>
    <xf numFmtId="43" fontId="2" fillId="0" borderId="0" xfId="1" applyFont="1"/>
    <xf numFmtId="164" fontId="2" fillId="0" borderId="0" xfId="0" applyNumberFormat="1" applyFont="1"/>
    <xf numFmtId="0" fontId="2" fillId="0" borderId="0" xfId="0" applyFont="1" applyAlignment="1">
      <alignment horizontal="left" indent="1"/>
    </xf>
    <xf numFmtId="0" fontId="4" fillId="0" borderId="0" xfId="0" applyFont="1" applyAlignment="1">
      <alignment horizontal="left" indent="1"/>
    </xf>
    <xf numFmtId="0" fontId="2" fillId="0" borderId="0" xfId="0" applyFont="1" applyAlignment="1">
      <alignment horizontal="left" indent="3"/>
    </xf>
    <xf numFmtId="0" fontId="2" fillId="0" borderId="0" xfId="0" applyFont="1" applyAlignment="1">
      <alignment horizontal="left" wrapText="1" indent="3"/>
    </xf>
    <xf numFmtId="165" fontId="2" fillId="11" borderId="0" xfId="1" applyNumberFormat="1" applyFont="1" applyFill="1"/>
    <xf numFmtId="43" fontId="2" fillId="6" borderId="16" xfId="1" applyFont="1" applyFill="1" applyBorder="1"/>
    <xf numFmtId="43" fontId="2" fillId="7" borderId="12" xfId="0" applyNumberFormat="1" applyFont="1" applyFill="1" applyBorder="1"/>
    <xf numFmtId="0" fontId="2" fillId="6" borderId="17" xfId="0" applyFont="1" applyFill="1" applyBorder="1"/>
    <xf numFmtId="166" fontId="2" fillId="0" borderId="0" xfId="2" applyNumberFormat="1" applyFont="1"/>
    <xf numFmtId="166" fontId="2" fillId="6" borderId="18" xfId="2" applyNumberFormat="1" applyFont="1" applyFill="1" applyBorder="1"/>
    <xf numFmtId="166" fontId="2" fillId="7" borderId="12" xfId="2" applyNumberFormat="1" applyFont="1" applyFill="1" applyBorder="1"/>
    <xf numFmtId="9" fontId="2" fillId="0" borderId="0" xfId="2" applyFont="1"/>
    <xf numFmtId="0" fontId="2" fillId="0" borderId="11" xfId="0" applyFont="1" applyBorder="1"/>
    <xf numFmtId="165" fontId="2" fillId="0" borderId="11" xfId="1" applyNumberFormat="1" applyFont="1" applyBorder="1"/>
    <xf numFmtId="9" fontId="2" fillId="0" borderId="0" xfId="0" applyNumberFormat="1" applyFont="1"/>
    <xf numFmtId="166" fontId="2" fillId="6" borderId="12" xfId="2" applyNumberFormat="1" applyFont="1" applyFill="1" applyBorder="1"/>
    <xf numFmtId="0" fontId="2" fillId="10" borderId="0" xfId="0" applyFont="1" applyFill="1"/>
    <xf numFmtId="166" fontId="2" fillId="10" borderId="0" xfId="2" applyNumberFormat="1" applyFont="1" applyFill="1"/>
    <xf numFmtId="165" fontId="2" fillId="0" borderId="0" xfId="1" applyNumberFormat="1" applyFont="1" applyFill="1"/>
    <xf numFmtId="10" fontId="43" fillId="6" borderId="0" xfId="2" applyNumberFormat="1" applyFont="1" applyFill="1"/>
    <xf numFmtId="165" fontId="38" fillId="0" borderId="0" xfId="0" applyNumberFormat="1" applyFont="1" applyAlignment="1">
      <alignment vertical="top"/>
    </xf>
    <xf numFmtId="165" fontId="38" fillId="10" borderId="0" xfId="0" applyNumberFormat="1" applyFont="1" applyFill="1" applyAlignment="1">
      <alignment vertical="top"/>
    </xf>
    <xf numFmtId="0" fontId="44" fillId="0" borderId="0" xfId="0" applyFont="1" applyAlignment="1">
      <alignment vertical="top"/>
    </xf>
    <xf numFmtId="174" fontId="2" fillId="0" borderId="0" xfId="0" applyNumberFormat="1" applyFont="1"/>
    <xf numFmtId="1" fontId="2" fillId="0" borderId="0" xfId="0" applyNumberFormat="1" applyFont="1"/>
    <xf numFmtId="165" fontId="2" fillId="4" borderId="0" xfId="0" applyNumberFormat="1" applyFont="1" applyFill="1" applyAlignment="1">
      <alignment vertical="top"/>
    </xf>
    <xf numFmtId="15" fontId="2" fillId="12" borderId="0" xfId="0" applyNumberFormat="1" applyFont="1" applyFill="1" applyAlignment="1">
      <alignment vertical="top"/>
    </xf>
    <xf numFmtId="166" fontId="45" fillId="6" borderId="0" xfId="0" applyNumberFormat="1" applyFont="1" applyFill="1" applyAlignment="1">
      <alignment vertical="top"/>
    </xf>
    <xf numFmtId="9" fontId="10" fillId="12" borderId="0" xfId="2" applyFont="1" applyFill="1" applyAlignment="1">
      <alignment horizontal="right" vertical="top"/>
    </xf>
    <xf numFmtId="43" fontId="2" fillId="0" borderId="0" xfId="1" applyFont="1" applyFill="1" applyAlignment="1">
      <alignment vertical="top"/>
    </xf>
    <xf numFmtId="170" fontId="2" fillId="0" borderId="7" xfId="6" applyNumberFormat="1" applyFont="1" applyFill="1" applyBorder="1" applyAlignment="1">
      <alignment horizontal="left" vertical="top"/>
    </xf>
    <xf numFmtId="165" fontId="15" fillId="10" borderId="8" xfId="1" applyNumberFormat="1" applyFont="1" applyFill="1" applyBorder="1" applyAlignment="1">
      <alignment horizontal="right" vertical="top" wrapText="1"/>
    </xf>
    <xf numFmtId="165" fontId="16" fillId="10" borderId="0" xfId="1" applyNumberFormat="1" applyFont="1" applyFill="1" applyAlignment="1">
      <alignment horizontal="left" vertical="top"/>
    </xf>
    <xf numFmtId="165" fontId="45" fillId="10" borderId="0" xfId="1" applyNumberFormat="1" applyFont="1" applyFill="1"/>
    <xf numFmtId="166" fontId="10" fillId="7" borderId="28" xfId="2" applyNumberFormat="1" applyFont="1" applyFill="1" applyBorder="1" applyAlignment="1">
      <alignment vertical="top"/>
    </xf>
    <xf numFmtId="177" fontId="18" fillId="2" borderId="0" xfId="0" applyNumberFormat="1" applyFont="1" applyFill="1" applyAlignment="1">
      <alignment horizontal="center" vertical="top"/>
    </xf>
    <xf numFmtId="15" fontId="18" fillId="2" borderId="0" xfId="0" applyNumberFormat="1" applyFont="1" applyFill="1" applyAlignment="1">
      <alignment horizontal="center" vertical="top" wrapText="1"/>
    </xf>
    <xf numFmtId="165" fontId="15" fillId="10" borderId="0" xfId="1" applyNumberFormat="1" applyFont="1" applyFill="1" applyBorder="1" applyAlignment="1">
      <alignment horizontal="left" vertical="top"/>
    </xf>
    <xf numFmtId="0" fontId="19" fillId="0" borderId="0" xfId="10" applyFont="1" applyAlignment="1">
      <alignment horizontal="center" vertical="top"/>
    </xf>
    <xf numFmtId="0" fontId="34" fillId="0" borderId="0" xfId="10" applyFont="1" applyAlignment="1">
      <alignment horizontal="center" vertical="top"/>
    </xf>
    <xf numFmtId="165" fontId="4" fillId="0" borderId="0" xfId="1" applyNumberFormat="1" applyFont="1" applyFill="1" applyBorder="1" applyAlignment="1">
      <alignment vertical="top"/>
    </xf>
    <xf numFmtId="9" fontId="4" fillId="10" borderId="0" xfId="0" applyNumberFormat="1" applyFont="1" applyFill="1" applyAlignment="1">
      <alignment vertical="top"/>
    </xf>
    <xf numFmtId="166" fontId="5" fillId="10" borderId="0" xfId="2" applyNumberFormat="1" applyFont="1" applyFill="1" applyBorder="1" applyAlignment="1">
      <alignment horizontal="right" vertical="top"/>
    </xf>
    <xf numFmtId="0" fontId="5" fillId="10" borderId="0" xfId="0" applyFont="1" applyFill="1" applyAlignment="1">
      <alignment vertical="top"/>
    </xf>
    <xf numFmtId="166" fontId="5" fillId="10" borderId="0" xfId="2" applyNumberFormat="1" applyFont="1" applyFill="1" applyBorder="1" applyAlignment="1">
      <alignment vertical="top"/>
    </xf>
    <xf numFmtId="166" fontId="5" fillId="7" borderId="0" xfId="2" applyNumberFormat="1" applyFont="1" applyFill="1" applyBorder="1" applyAlignment="1">
      <alignment vertical="top"/>
    </xf>
    <xf numFmtId="0" fontId="4" fillId="4" borderId="0" xfId="0" applyFont="1" applyFill="1" applyAlignment="1">
      <alignment vertical="top"/>
    </xf>
    <xf numFmtId="168" fontId="4" fillId="10" borderId="0" xfId="1" applyNumberFormat="1" applyFont="1" applyFill="1" applyBorder="1" applyAlignment="1">
      <alignment vertical="top"/>
    </xf>
    <xf numFmtId="177" fontId="18" fillId="9" borderId="0" xfId="0" applyNumberFormat="1" applyFont="1" applyFill="1" applyAlignment="1">
      <alignment horizontal="center" vertical="top"/>
    </xf>
    <xf numFmtId="15" fontId="18" fillId="9" borderId="0" xfId="0" applyNumberFormat="1" applyFont="1" applyFill="1" applyAlignment="1">
      <alignment horizontal="center" vertical="top" wrapText="1"/>
    </xf>
    <xf numFmtId="165" fontId="24" fillId="0" borderId="0" xfId="1" applyNumberFormat="1" applyFont="1"/>
    <xf numFmtId="0" fontId="10" fillId="0" borderId="0" xfId="0" applyFont="1"/>
    <xf numFmtId="165" fontId="2" fillId="10" borderId="0" xfId="1" applyNumberFormat="1" applyFont="1" applyFill="1" applyBorder="1" applyAlignment="1">
      <alignment vertical="top"/>
    </xf>
    <xf numFmtId="176" fontId="46" fillId="0" borderId="0" xfId="1" applyNumberFormat="1" applyFont="1" applyAlignment="1">
      <alignment vertical="top"/>
    </xf>
    <xf numFmtId="165" fontId="4" fillId="0" borderId="1" xfId="1" applyNumberFormat="1" applyFont="1" applyBorder="1"/>
    <xf numFmtId="165" fontId="4" fillId="0" borderId="1" xfId="0" applyNumberFormat="1" applyFont="1" applyBorder="1"/>
    <xf numFmtId="9" fontId="47" fillId="0" borderId="0" xfId="2" applyFont="1" applyAlignment="1">
      <alignment vertical="top"/>
    </xf>
    <xf numFmtId="0" fontId="2" fillId="0" borderId="0" xfId="0" applyFont="1" applyAlignment="1">
      <alignment horizontal="left"/>
    </xf>
    <xf numFmtId="168" fontId="2" fillId="0" borderId="0" xfId="1" applyNumberFormat="1" applyFont="1"/>
    <xf numFmtId="168" fontId="4" fillId="0" borderId="10" xfId="0" applyNumberFormat="1" applyFont="1" applyBorder="1"/>
    <xf numFmtId="165" fontId="2" fillId="0" borderId="1" xfId="0" applyNumberFormat="1" applyFont="1" applyBorder="1"/>
    <xf numFmtId="0" fontId="4" fillId="0" borderId="1" xfId="0" applyFont="1" applyBorder="1"/>
    <xf numFmtId="177" fontId="34" fillId="0" borderId="0" xfId="0" applyNumberFormat="1" applyFont="1" applyAlignment="1">
      <alignment horizontal="center" vertical="top"/>
    </xf>
    <xf numFmtId="172" fontId="34" fillId="0" borderId="11" xfId="0" applyNumberFormat="1" applyFont="1" applyBorder="1" applyAlignment="1">
      <alignment horizontal="center" vertical="top" wrapText="1"/>
    </xf>
    <xf numFmtId="165" fontId="17" fillId="10" borderId="2" xfId="1" applyNumberFormat="1" applyFont="1" applyFill="1" applyBorder="1" applyAlignment="1">
      <alignment horizontal="right" vertical="top" wrapText="1"/>
    </xf>
    <xf numFmtId="165" fontId="17" fillId="10" borderId="3" xfId="1" applyNumberFormat="1" applyFont="1" applyFill="1" applyBorder="1" applyAlignment="1">
      <alignment horizontal="right" vertical="top" wrapText="1"/>
    </xf>
    <xf numFmtId="165" fontId="17" fillId="10" borderId="4" xfId="1" applyNumberFormat="1" applyFont="1" applyFill="1" applyBorder="1" applyAlignment="1">
      <alignment horizontal="right" vertical="top" wrapText="1"/>
    </xf>
    <xf numFmtId="20" fontId="2" fillId="0" borderId="0" xfId="0" applyNumberFormat="1" applyFont="1" applyAlignment="1">
      <alignment vertical="top"/>
    </xf>
    <xf numFmtId="1" fontId="4" fillId="0" borderId="0" xfId="0" applyNumberFormat="1" applyFont="1"/>
    <xf numFmtId="0" fontId="4" fillId="0" borderId="6" xfId="3" applyFont="1" applyAlignment="1">
      <alignment horizontal="center" vertical="top" wrapText="1"/>
    </xf>
    <xf numFmtId="0" fontId="49" fillId="0" borderId="0" xfId="0" applyFont="1"/>
    <xf numFmtId="0" fontId="0" fillId="0" borderId="0" xfId="0" applyAlignment="1">
      <alignment horizontal="right"/>
    </xf>
    <xf numFmtId="10" fontId="2" fillId="0" borderId="0" xfId="2" applyNumberFormat="1" applyFont="1" applyAlignment="1">
      <alignment vertical="top"/>
    </xf>
    <xf numFmtId="9" fontId="5" fillId="2" borderId="0" xfId="0" applyNumberFormat="1" applyFont="1" applyFill="1" applyAlignment="1">
      <alignment vertical="top"/>
    </xf>
    <xf numFmtId="166" fontId="5" fillId="0" borderId="0" xfId="2" applyNumberFormat="1" applyFont="1" applyAlignment="1">
      <alignment vertical="top"/>
    </xf>
    <xf numFmtId="165" fontId="4" fillId="10" borderId="2" xfId="1" applyNumberFormat="1" applyFont="1" applyFill="1" applyBorder="1" applyAlignment="1">
      <alignment vertical="top"/>
    </xf>
    <xf numFmtId="165" fontId="4" fillId="10" borderId="3" xfId="1" applyNumberFormat="1" applyFont="1" applyFill="1" applyBorder="1" applyAlignment="1">
      <alignment vertical="top"/>
    </xf>
    <xf numFmtId="165" fontId="4" fillId="10" borderId="4" xfId="1" applyNumberFormat="1" applyFont="1" applyFill="1" applyBorder="1" applyAlignment="1">
      <alignment vertical="top"/>
    </xf>
    <xf numFmtId="0" fontId="2" fillId="14" borderId="0" xfId="0" applyFont="1" applyFill="1" applyAlignment="1">
      <alignment vertical="top"/>
    </xf>
    <xf numFmtId="0" fontId="2" fillId="14" borderId="0" xfId="0" applyFont="1" applyFill="1" applyAlignment="1">
      <alignment horizontal="left" vertical="top"/>
    </xf>
    <xf numFmtId="0" fontId="2" fillId="14" borderId="0" xfId="0" applyFont="1" applyFill="1" applyAlignment="1">
      <alignment horizontal="right" vertical="top"/>
    </xf>
    <xf numFmtId="0" fontId="4" fillId="14" borderId="0" xfId="0" applyFont="1" applyFill="1" applyAlignment="1">
      <alignment horizontal="right" vertical="top"/>
    </xf>
    <xf numFmtId="0" fontId="4" fillId="14" borderId="21" xfId="0" applyFont="1" applyFill="1" applyBorder="1" applyAlignment="1">
      <alignment horizontal="center" vertical="top"/>
    </xf>
    <xf numFmtId="0" fontId="4" fillId="14" borderId="22" xfId="0" applyFont="1" applyFill="1" applyBorder="1" applyAlignment="1">
      <alignment horizontal="center" vertical="top"/>
    </xf>
    <xf numFmtId="0" fontId="4" fillId="15" borderId="21" xfId="0" applyFont="1" applyFill="1" applyBorder="1" applyAlignment="1">
      <alignment horizontal="center" vertical="top"/>
    </xf>
    <xf numFmtId="0" fontId="4" fillId="15" borderId="22" xfId="0" applyFont="1" applyFill="1" applyBorder="1" applyAlignment="1">
      <alignment horizontal="center" vertical="top"/>
    </xf>
    <xf numFmtId="0" fontId="4" fillId="14" borderId="19" xfId="0" applyFont="1" applyFill="1" applyBorder="1" applyAlignment="1">
      <alignment horizontal="center" vertical="top"/>
    </xf>
    <xf numFmtId="0" fontId="4" fillId="14" borderId="20" xfId="0" applyFont="1" applyFill="1" applyBorder="1" applyAlignment="1">
      <alignment horizontal="center" vertical="top"/>
    </xf>
    <xf numFmtId="10" fontId="2" fillId="0" borderId="0" xfId="2" applyNumberFormat="1" applyFont="1" applyFill="1" applyAlignment="1">
      <alignment vertical="top"/>
    </xf>
    <xf numFmtId="0" fontId="32" fillId="13" borderId="0" xfId="0" applyFont="1" applyFill="1" applyAlignment="1">
      <alignment vertical="top"/>
    </xf>
    <xf numFmtId="43" fontId="32" fillId="13" borderId="0" xfId="1" applyFont="1" applyFill="1" applyAlignment="1">
      <alignment vertical="top"/>
    </xf>
    <xf numFmtId="10" fontId="32" fillId="13" borderId="0" xfId="2" applyNumberFormat="1" applyFont="1" applyFill="1" applyAlignment="1">
      <alignment vertical="top"/>
    </xf>
    <xf numFmtId="0" fontId="32" fillId="13" borderId="0" xfId="0" applyFont="1" applyFill="1" applyAlignment="1">
      <alignment horizontal="right" vertical="top"/>
    </xf>
    <xf numFmtId="170" fontId="32" fillId="13" borderId="7" xfId="6" applyNumberFormat="1" applyFont="1" applyFill="1" applyBorder="1" applyAlignment="1">
      <alignment horizontal="left" vertical="top"/>
    </xf>
    <xf numFmtId="170" fontId="32" fillId="13" borderId="7" xfId="6" applyNumberFormat="1" applyFont="1" applyFill="1" applyBorder="1" applyAlignment="1">
      <alignment horizontal="right" vertical="top"/>
    </xf>
    <xf numFmtId="0" fontId="32" fillId="13" borderId="0" xfId="0" applyFont="1" applyFill="1" applyAlignment="1">
      <alignment horizontal="left" vertical="top"/>
    </xf>
    <xf numFmtId="43" fontId="4" fillId="2" borderId="0" xfId="1" applyFont="1" applyFill="1" applyBorder="1" applyAlignment="1">
      <alignment vertical="top"/>
    </xf>
    <xf numFmtId="170" fontId="4" fillId="0" borderId="0" xfId="7" applyFont="1" applyAlignment="1">
      <alignment horizontal="center" vertical="top" wrapText="1"/>
    </xf>
    <xf numFmtId="43" fontId="4" fillId="0" borderId="0" xfId="1" applyFont="1" applyFill="1" applyAlignment="1">
      <alignment vertical="top"/>
    </xf>
    <xf numFmtId="0" fontId="19" fillId="0" borderId="0" xfId="3" applyFont="1" applyBorder="1" applyAlignment="1">
      <alignment horizontal="right" vertical="top" wrapText="1"/>
    </xf>
    <xf numFmtId="0" fontId="32" fillId="0" borderId="0" xfId="0" applyFont="1" applyAlignment="1">
      <alignment vertical="top"/>
    </xf>
    <xf numFmtId="10" fontId="10" fillId="0" borderId="0" xfId="2" applyNumberFormat="1" applyFont="1" applyAlignment="1">
      <alignment horizontal="right" vertical="top"/>
    </xf>
    <xf numFmtId="10" fontId="10" fillId="0" borderId="7" xfId="2" applyNumberFormat="1" applyFont="1" applyBorder="1" applyAlignment="1">
      <alignment horizontal="right" vertical="top"/>
    </xf>
    <xf numFmtId="10" fontId="5" fillId="0" borderId="7" xfId="2" applyNumberFormat="1" applyFont="1" applyBorder="1" applyAlignment="1">
      <alignment horizontal="right" vertical="top"/>
    </xf>
    <xf numFmtId="10" fontId="5" fillId="0" borderId="29" xfId="2" applyNumberFormat="1" applyFont="1" applyBorder="1" applyAlignment="1">
      <alignment horizontal="right" vertical="top"/>
    </xf>
    <xf numFmtId="170" fontId="4" fillId="0" borderId="7" xfId="6" applyNumberFormat="1" applyFont="1" applyBorder="1">
      <alignment horizontal="left" vertical="top" wrapText="1"/>
    </xf>
    <xf numFmtId="170" fontId="4" fillId="0" borderId="0" xfId="6" applyNumberFormat="1" applyFont="1" applyAlignment="1">
      <alignment horizontal="left" vertical="top"/>
    </xf>
    <xf numFmtId="170" fontId="4" fillId="0" borderId="7" xfId="6" applyNumberFormat="1" applyFont="1" applyBorder="1" applyAlignment="1">
      <alignment horizontal="left" vertical="top"/>
    </xf>
    <xf numFmtId="0" fontId="10" fillId="0" borderId="0" xfId="6" applyFont="1" applyAlignment="1">
      <alignment horizontal="center" vertical="top" wrapText="1"/>
    </xf>
    <xf numFmtId="0" fontId="10" fillId="0" borderId="7" xfId="0" applyFont="1" applyBorder="1" applyAlignment="1">
      <alignment vertical="top"/>
    </xf>
    <xf numFmtId="10" fontId="5" fillId="0" borderId="0" xfId="2" applyNumberFormat="1" applyFont="1" applyAlignment="1">
      <alignment horizontal="right" vertical="top"/>
    </xf>
    <xf numFmtId="166" fontId="5" fillId="0" borderId="0" xfId="2" applyNumberFormat="1" applyFont="1" applyAlignment="1">
      <alignment horizontal="right" vertical="top"/>
    </xf>
    <xf numFmtId="10" fontId="25" fillId="2" borderId="29" xfId="2" applyNumberFormat="1" applyFont="1" applyFill="1" applyBorder="1" applyAlignment="1">
      <alignment horizontal="right" vertical="top"/>
    </xf>
    <xf numFmtId="0" fontId="2" fillId="0" borderId="1" xfId="0" applyFont="1" applyBorder="1" applyAlignment="1">
      <alignment vertical="top"/>
    </xf>
    <xf numFmtId="165" fontId="50" fillId="2" borderId="1" xfId="1" applyNumberFormat="1" applyFont="1" applyFill="1" applyBorder="1" applyAlignment="1">
      <alignment vertical="top"/>
    </xf>
    <xf numFmtId="165" fontId="18" fillId="0" borderId="0" xfId="1" applyNumberFormat="1" applyFont="1" applyAlignment="1">
      <alignment horizontal="left" vertical="top" wrapText="1"/>
    </xf>
    <xf numFmtId="165" fontId="18" fillId="2" borderId="0" xfId="1" applyNumberFormat="1" applyFont="1" applyFill="1" applyAlignment="1">
      <alignment vertical="top"/>
    </xf>
    <xf numFmtId="0" fontId="52" fillId="0" borderId="0" xfId="0" applyFont="1"/>
    <xf numFmtId="165" fontId="18" fillId="0" borderId="0" xfId="1" applyNumberFormat="1" applyFont="1" applyFill="1" applyAlignment="1">
      <alignment vertical="top"/>
    </xf>
    <xf numFmtId="0" fontId="4" fillId="0" borderId="11" xfId="0" applyFont="1" applyBorder="1" applyAlignment="1">
      <alignment vertical="top"/>
    </xf>
    <xf numFmtId="165" fontId="4" fillId="0" borderId="11" xfId="1" applyNumberFormat="1" applyFont="1" applyBorder="1" applyAlignment="1">
      <alignment vertical="top"/>
    </xf>
    <xf numFmtId="0" fontId="46" fillId="0" borderId="0" xfId="0" applyFont="1" applyAlignment="1">
      <alignment vertical="top"/>
    </xf>
    <xf numFmtId="0" fontId="47" fillId="0" borderId="0" xfId="0" applyFont="1" applyAlignment="1">
      <alignment vertical="top"/>
    </xf>
    <xf numFmtId="165" fontId="5" fillId="0" borderId="0" xfId="0" applyNumberFormat="1" applyFont="1" applyAlignment="1">
      <alignment vertical="top"/>
    </xf>
    <xf numFmtId="168" fontId="2" fillId="8" borderId="0" xfId="1" applyNumberFormat="1" applyFont="1" applyFill="1" applyAlignment="1">
      <alignment vertical="top"/>
    </xf>
    <xf numFmtId="168" fontId="2" fillId="8" borderId="0" xfId="1" applyNumberFormat="1" applyFont="1" applyFill="1" applyBorder="1" applyAlignment="1">
      <alignment vertical="top"/>
    </xf>
    <xf numFmtId="0" fontId="2" fillId="0" borderId="11" xfId="0" applyFont="1" applyBorder="1" applyAlignment="1">
      <alignment horizontal="center" vertical="top"/>
    </xf>
    <xf numFmtId="165" fontId="4" fillId="0" borderId="25" xfId="1" applyNumberFormat="1" applyFont="1" applyBorder="1" applyAlignment="1">
      <alignment horizontal="center" vertical="center" textRotation="180"/>
    </xf>
    <xf numFmtId="0" fontId="51" fillId="0" borderId="0" xfId="0" applyFont="1" applyAlignment="1">
      <alignment horizontal="center" vertical="top" wrapText="1"/>
    </xf>
    <xf numFmtId="167" fontId="2" fillId="0" borderId="0" xfId="1" applyNumberFormat="1" applyFont="1" applyAlignment="1">
      <alignment horizontal="center" vertical="top" wrapText="1"/>
    </xf>
    <xf numFmtId="0" fontId="2" fillId="0" borderId="0" xfId="0" applyFont="1" applyAlignment="1">
      <alignment horizontal="center" vertical="top"/>
    </xf>
    <xf numFmtId="0" fontId="4" fillId="8" borderId="0" xfId="0" applyFont="1" applyFill="1" applyAlignment="1">
      <alignment horizontal="center" vertical="top"/>
    </xf>
    <xf numFmtId="0" fontId="0" fillId="0" borderId="0" xfId="0" applyAlignment="1">
      <alignment horizontal="center" wrapText="1"/>
    </xf>
    <xf numFmtId="0" fontId="4" fillId="0" borderId="6" xfId="3" applyFont="1" applyAlignment="1">
      <alignment horizontal="center" vertical="top" wrapText="1"/>
    </xf>
    <xf numFmtId="0" fontId="4" fillId="14" borderId="19" xfId="0" applyFont="1" applyFill="1" applyBorder="1" applyAlignment="1">
      <alignment horizontal="center" vertical="top"/>
    </xf>
    <xf numFmtId="0" fontId="4" fillId="14" borderId="20" xfId="0" applyFont="1" applyFill="1" applyBorder="1" applyAlignment="1">
      <alignment horizontal="center" vertical="top"/>
    </xf>
    <xf numFmtId="0" fontId="4" fillId="0" borderId="0" xfId="0" applyFont="1" applyAlignment="1">
      <alignment horizontal="center" vertical="top"/>
    </xf>
    <xf numFmtId="0" fontId="2" fillId="0" borderId="0" xfId="0" applyFont="1" applyAlignment="1">
      <alignment horizontal="center" vertical="top" wrapText="1"/>
    </xf>
    <xf numFmtId="0" fontId="4" fillId="15" borderId="19" xfId="0" applyFont="1" applyFill="1" applyBorder="1" applyAlignment="1">
      <alignment horizontal="center" vertical="top"/>
    </xf>
    <xf numFmtId="0" fontId="4" fillId="15" borderId="20" xfId="0" applyFont="1" applyFill="1" applyBorder="1" applyAlignment="1">
      <alignment horizontal="center" vertical="top"/>
    </xf>
    <xf numFmtId="0" fontId="4" fillId="11" borderId="0" xfId="0" applyFont="1" applyFill="1" applyAlignment="1">
      <alignment horizontal="center"/>
    </xf>
    <xf numFmtId="0" fontId="2" fillId="4" borderId="11" xfId="0" applyFont="1" applyFill="1" applyBorder="1" applyAlignment="1">
      <alignment horizontal="center" vertical="center"/>
    </xf>
    <xf numFmtId="0" fontId="2" fillId="11" borderId="0" xfId="0" applyFont="1" applyFill="1" applyAlignment="1">
      <alignment horizontal="center" wrapText="1"/>
    </xf>
    <xf numFmtId="0" fontId="2" fillId="11" borderId="11" xfId="0" applyFont="1" applyFill="1" applyBorder="1" applyAlignment="1">
      <alignment horizontal="center" wrapText="1"/>
    </xf>
    <xf numFmtId="0" fontId="2" fillId="4" borderId="0" xfId="0" applyFont="1" applyFill="1" applyAlignment="1">
      <alignment horizontal="center"/>
    </xf>
    <xf numFmtId="170" fontId="37" fillId="0" borderId="0" xfId="9" applyFont="1" applyAlignment="1">
      <alignment horizontal="center" vertical="top" wrapText="1"/>
    </xf>
    <xf numFmtId="170" fontId="37" fillId="0" borderId="26" xfId="9" applyFont="1" applyBorder="1" applyAlignment="1">
      <alignment horizontal="center" vertical="top"/>
    </xf>
    <xf numFmtId="170" fontId="37" fillId="0" borderId="27" xfId="9" applyFont="1" applyBorder="1" applyAlignment="1">
      <alignment horizontal="center" vertical="top"/>
    </xf>
    <xf numFmtId="170" fontId="37" fillId="0" borderId="28" xfId="9" applyFont="1" applyBorder="1" applyAlignment="1">
      <alignment horizontal="center" vertical="top"/>
    </xf>
    <xf numFmtId="0" fontId="2" fillId="7" borderId="0" xfId="0" applyFont="1" applyFill="1" applyAlignment="1">
      <alignment horizontal="center" vertical="center" wrapText="1"/>
    </xf>
    <xf numFmtId="165" fontId="15" fillId="6" borderId="13" xfId="1" applyNumberFormat="1" applyFont="1" applyFill="1" applyBorder="1" applyAlignment="1">
      <alignment horizontal="center" vertical="top" wrapText="1"/>
    </xf>
    <xf numFmtId="165" fontId="15" fillId="6" borderId="14" xfId="1" applyNumberFormat="1" applyFont="1" applyFill="1" applyBorder="1" applyAlignment="1">
      <alignment horizontal="center" vertical="top" wrapText="1"/>
    </xf>
    <xf numFmtId="165" fontId="15" fillId="6" borderId="15" xfId="1" applyNumberFormat="1" applyFont="1" applyFill="1" applyBorder="1" applyAlignment="1">
      <alignment horizontal="center" vertical="top" wrapText="1"/>
    </xf>
    <xf numFmtId="0" fontId="39" fillId="10" borderId="0" xfId="0" applyFont="1" applyFill="1" applyAlignment="1">
      <alignment horizontal="center" vertical="top"/>
    </xf>
    <xf numFmtId="170" fontId="37" fillId="0" borderId="26" xfId="9" applyFont="1" applyBorder="1" applyAlignment="1">
      <alignment horizontal="center" vertical="top" wrapText="1"/>
    </xf>
    <xf numFmtId="170" fontId="37" fillId="0" borderId="27" xfId="9" applyFont="1" applyBorder="1" applyAlignment="1">
      <alignment horizontal="center" vertical="top" wrapText="1"/>
    </xf>
    <xf numFmtId="170" fontId="37" fillId="0" borderId="28" xfId="9" applyFont="1" applyBorder="1" applyAlignment="1">
      <alignment horizontal="center" vertical="top" wrapText="1"/>
    </xf>
    <xf numFmtId="0" fontId="39" fillId="10" borderId="26" xfId="0" applyFont="1" applyFill="1" applyBorder="1" applyAlignment="1">
      <alignment horizontal="center" vertical="top"/>
    </xf>
    <xf numFmtId="0" fontId="39" fillId="10" borderId="27" xfId="0" applyFont="1" applyFill="1" applyBorder="1" applyAlignment="1">
      <alignment horizontal="center" vertical="top"/>
    </xf>
    <xf numFmtId="0" fontId="39" fillId="10" borderId="28" xfId="0" applyFont="1" applyFill="1" applyBorder="1" applyAlignment="1">
      <alignment horizontal="center" vertical="top"/>
    </xf>
    <xf numFmtId="165" fontId="38" fillId="0" borderId="26" xfId="1" applyNumberFormat="1" applyFont="1" applyBorder="1" applyAlignment="1">
      <alignment horizontal="center" vertical="top"/>
    </xf>
    <xf numFmtId="165" fontId="38" fillId="0" borderId="27" xfId="1" applyNumberFormat="1" applyFont="1" applyBorder="1" applyAlignment="1">
      <alignment horizontal="center" vertical="top"/>
    </xf>
    <xf numFmtId="165" fontId="38" fillId="0" borderId="28" xfId="1" applyNumberFormat="1" applyFont="1" applyBorder="1" applyAlignment="1">
      <alignment horizontal="center" vertical="top"/>
    </xf>
    <xf numFmtId="0" fontId="2" fillId="0" borderId="0" xfId="0" applyFont="1" applyAlignment="1">
      <alignment horizontal="center" wrapText="1"/>
    </xf>
    <xf numFmtId="0" fontId="53" fillId="0" borderId="0" xfId="0" applyFont="1"/>
    <xf numFmtId="0" fontId="54" fillId="0" borderId="0" xfId="0" applyFont="1"/>
    <xf numFmtId="0" fontId="0" fillId="0" borderId="30" xfId="0" applyBorder="1"/>
    <xf numFmtId="0" fontId="0" fillId="0" borderId="31" xfId="0" applyBorder="1"/>
    <xf numFmtId="0" fontId="49" fillId="17" borderId="33" xfId="0" applyFont="1" applyFill="1" applyBorder="1"/>
    <xf numFmtId="0" fontId="0" fillId="0" borderId="33" xfId="0" applyBorder="1" applyAlignment="1">
      <alignment vertical="top" wrapText="1"/>
    </xf>
    <xf numFmtId="0" fontId="49" fillId="19" borderId="33" xfId="0" applyFont="1" applyFill="1" applyBorder="1" applyAlignment="1">
      <alignment vertical="top" wrapText="1"/>
    </xf>
    <xf numFmtId="0" fontId="58" fillId="16" borderId="34" xfId="0" applyFont="1" applyFill="1" applyBorder="1"/>
    <xf numFmtId="0" fontId="0" fillId="0" borderId="35" xfId="0" applyBorder="1" applyAlignment="1">
      <alignment vertical="top" wrapText="1"/>
    </xf>
    <xf numFmtId="0" fontId="55" fillId="16" borderId="36" xfId="0" applyFont="1" applyFill="1" applyBorder="1"/>
    <xf numFmtId="0" fontId="49" fillId="17" borderId="37" xfId="0" applyFont="1" applyFill="1" applyBorder="1"/>
    <xf numFmtId="0" fontId="49" fillId="0" borderId="37" xfId="0" applyFont="1" applyBorder="1" applyAlignment="1">
      <alignment horizontal="left" vertical="top"/>
    </xf>
    <xf numFmtId="0" fontId="49" fillId="0" borderId="38" xfId="0" applyFont="1" applyBorder="1" applyAlignment="1">
      <alignment horizontal="left" vertical="top"/>
    </xf>
    <xf numFmtId="0" fontId="58" fillId="16" borderId="39" xfId="0" applyFont="1" applyFill="1" applyBorder="1"/>
    <xf numFmtId="0" fontId="49" fillId="17" borderId="40" xfId="0" applyFont="1" applyFill="1" applyBorder="1"/>
    <xf numFmtId="0" fontId="59" fillId="0" borderId="40" xfId="0" applyFont="1" applyBorder="1" applyAlignment="1">
      <alignment horizontal="left" vertical="top"/>
    </xf>
    <xf numFmtId="0" fontId="59" fillId="0" borderId="41" xfId="0" applyFont="1" applyBorder="1" applyAlignment="1">
      <alignment horizontal="left" vertical="top"/>
    </xf>
    <xf numFmtId="0" fontId="49" fillId="0" borderId="42" xfId="0" applyFont="1" applyBorder="1" applyAlignment="1">
      <alignment horizontal="left" vertical="top"/>
    </xf>
    <xf numFmtId="0" fontId="0" fillId="0" borderId="43" xfId="0" applyBorder="1" applyAlignment="1">
      <alignment vertical="top" wrapText="1"/>
    </xf>
    <xf numFmtId="0" fontId="59" fillId="0" borderId="44" xfId="0" applyFont="1" applyBorder="1" applyAlignment="1">
      <alignment horizontal="left" vertical="top"/>
    </xf>
    <xf numFmtId="0" fontId="0" fillId="0" borderId="32" xfId="0" applyBorder="1"/>
    <xf numFmtId="0" fontId="58" fillId="18" borderId="34" xfId="0" applyFont="1" applyFill="1" applyBorder="1" applyAlignment="1">
      <alignment vertical="top" wrapText="1"/>
    </xf>
    <xf numFmtId="0" fontId="55" fillId="18" borderId="36" xfId="0" applyFont="1" applyFill="1" applyBorder="1" applyAlignment="1">
      <alignment horizontal="left" vertical="top"/>
    </xf>
    <xf numFmtId="0" fontId="49" fillId="19" borderId="37" xfId="0" applyFont="1" applyFill="1" applyBorder="1" applyAlignment="1">
      <alignment horizontal="left" vertical="top"/>
    </xf>
    <xf numFmtId="0" fontId="60" fillId="18" borderId="39" xfId="0" applyFont="1" applyFill="1" applyBorder="1" applyAlignment="1">
      <alignment horizontal="left" vertical="top"/>
    </xf>
    <xf numFmtId="0" fontId="60" fillId="19" borderId="40" xfId="0" applyFont="1" applyFill="1" applyBorder="1" applyAlignment="1">
      <alignment horizontal="left" vertical="top"/>
    </xf>
    <xf numFmtId="10" fontId="56" fillId="0" borderId="40" xfId="0" applyNumberFormat="1" applyFont="1" applyBorder="1" applyAlignment="1">
      <alignment horizontal="left" vertical="top"/>
    </xf>
    <xf numFmtId="3" fontId="56" fillId="0" borderId="40" xfId="0" applyNumberFormat="1" applyFont="1" applyBorder="1" applyAlignment="1">
      <alignment horizontal="left" vertical="top"/>
    </xf>
    <xf numFmtId="182" fontId="57" fillId="0" borderId="40" xfId="0" applyNumberFormat="1" applyFont="1" applyBorder="1" applyAlignment="1">
      <alignment horizontal="left" vertical="top"/>
    </xf>
    <xf numFmtId="0" fontId="58" fillId="20" borderId="30" xfId="0" applyFont="1" applyFill="1" applyBorder="1"/>
    <xf numFmtId="0" fontId="0" fillId="0" borderId="42" xfId="0" applyBorder="1"/>
    <xf numFmtId="0" fontId="0" fillId="0" borderId="43" xfId="0" applyBorder="1"/>
    <xf numFmtId="0" fontId="55" fillId="20" borderId="36" xfId="0" applyFont="1" applyFill="1" applyBorder="1"/>
    <xf numFmtId="0" fontId="49" fillId="21" borderId="37" xfId="0" applyFont="1" applyFill="1" applyBorder="1"/>
    <xf numFmtId="0" fontId="49" fillId="21" borderId="38" xfId="0" applyFont="1" applyFill="1" applyBorder="1"/>
    <xf numFmtId="0" fontId="58" fillId="20" borderId="39" xfId="0" applyFont="1" applyFill="1" applyBorder="1"/>
    <xf numFmtId="3" fontId="0" fillId="21" borderId="40" xfId="0" applyNumberFormat="1" applyFill="1" applyBorder="1" applyAlignment="1">
      <alignment horizontal="right"/>
    </xf>
    <xf numFmtId="0" fontId="0" fillId="21" borderId="41" xfId="0" applyFill="1" applyBorder="1" applyAlignment="1">
      <alignment horizontal="right"/>
    </xf>
    <xf numFmtId="182" fontId="61" fillId="21" borderId="40" xfId="0" applyNumberFormat="1" applyFont="1" applyFill="1" applyBorder="1" applyAlignment="1">
      <alignment horizontal="right"/>
    </xf>
    <xf numFmtId="0" fontId="62" fillId="0" borderId="0" xfId="0" applyFont="1"/>
    <xf numFmtId="0" fontId="63" fillId="0" borderId="0" xfId="0" applyFont="1"/>
    <xf numFmtId="0" fontId="64" fillId="0" borderId="0" xfId="0" applyFont="1"/>
  </cellXfs>
  <cellStyles count="11">
    <cellStyle name="Comma" xfId="1" builtinId="3"/>
    <cellStyle name="EY1dp" xfId="8" xr:uid="{00000000-0005-0000-0000-000001000000}"/>
    <cellStyle name="EYColumnHeading 3" xfId="3" xr:uid="{00000000-0005-0000-0000-000002000000}"/>
    <cellStyle name="EYNotes" xfId="7" xr:uid="{00000000-0005-0000-0000-000003000000}"/>
    <cellStyle name="EYNotesHeading 3" xfId="5" xr:uid="{00000000-0005-0000-0000-000004000000}"/>
    <cellStyle name="EYnumber 2 2" xfId="4" xr:uid="{00000000-0005-0000-0000-000005000000}"/>
    <cellStyle name="EYSource" xfId="9" xr:uid="{00000000-0005-0000-0000-000006000000}"/>
    <cellStyle name="EYtext" xfId="6" xr:uid="{00000000-0005-0000-0000-000007000000}"/>
    <cellStyle name="Invisible" xfId="10" xr:uid="{00000000-0005-0000-0000-000008000000}"/>
    <cellStyle name="Normal" xfId="0" builtinId="0"/>
    <cellStyle name="Percent" xfId="2" builtinId="5"/>
  </cellStyles>
  <dxfs count="3">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FFCC"/>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Drop" dropStyle="combo" dx="22" fmlaLink="$E$5" fmlaRange="$AF$6:$AF$7" noThreeD="1" sel="2" val="0"/>
</file>

<file path=xl/ctrlProps/ctrlProp2.xml><?xml version="1.0" encoding="utf-8"?>
<formControlPr xmlns="http://schemas.microsoft.com/office/spreadsheetml/2009/9/main" objectType="Drop" dropStyle="combo" dx="22" fmlaLink="$D$3" fmlaRange="$B$24:$B$25" noThreeD="1" sel="1" val="0"/>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3</xdr:row>
          <xdr:rowOff>152400</xdr:rowOff>
        </xdr:from>
        <xdr:to>
          <xdr:col>4</xdr:col>
          <xdr:colOff>133350</xdr:colOff>
          <xdr:row>5</xdr:row>
          <xdr:rowOff>0</xdr:rowOff>
        </xdr:to>
        <xdr:sp macro="" textlink="">
          <xdr:nvSpPr>
            <xdr:cNvPr id="20481" name="Drop Down 1" hidden="1">
              <a:extLst>
                <a:ext uri="{63B3BB69-23CF-44E3-9099-C40C66FF867C}">
                  <a14:compatExt spid="_x0000_s20481"/>
                </a:ext>
                <a:ext uri="{FF2B5EF4-FFF2-40B4-BE49-F238E27FC236}">
                  <a16:creationId xmlns:a16="http://schemas.microsoft.com/office/drawing/2014/main" id="{00000000-0008-0000-0000-0000015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2019300</xdr:colOff>
          <xdr:row>1</xdr:row>
          <xdr:rowOff>133350</xdr:rowOff>
        </xdr:from>
        <xdr:to>
          <xdr:col>2</xdr:col>
          <xdr:colOff>971550</xdr:colOff>
          <xdr:row>2</xdr:row>
          <xdr:rowOff>114300</xdr:rowOff>
        </xdr:to>
        <xdr:sp macro="" textlink="">
          <xdr:nvSpPr>
            <xdr:cNvPr id="19458" name="Drop Down 2" hidden="1">
              <a:extLst>
                <a:ext uri="{63B3BB69-23CF-44E3-9099-C40C66FF867C}">
                  <a14:compatExt spid="_x0000_s19458"/>
                </a:ext>
                <a:ext uri="{FF2B5EF4-FFF2-40B4-BE49-F238E27FC236}">
                  <a16:creationId xmlns:a16="http://schemas.microsoft.com/office/drawing/2014/main" id="{00000000-0008-0000-0100-0000024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33</xdr:col>
      <xdr:colOff>161925</xdr:colOff>
      <xdr:row>13</xdr:row>
      <xdr:rowOff>0</xdr:rowOff>
    </xdr:from>
    <xdr:to>
      <xdr:col>41</xdr:col>
      <xdr:colOff>210237</xdr:colOff>
      <xdr:row>18</xdr:row>
      <xdr:rowOff>14472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0278725" y="2105025"/>
          <a:ext cx="4925112" cy="933580"/>
        </a:xfrm>
        <a:prstGeom prst="rect">
          <a:avLst/>
        </a:prstGeom>
      </xdr:spPr>
    </xdr:pic>
    <xdr:clientData/>
  </xdr:twoCellAnchor>
  <xdr:twoCellAnchor editAs="oneCell">
    <xdr:from>
      <xdr:col>44</xdr:col>
      <xdr:colOff>19050</xdr:colOff>
      <xdr:row>56</xdr:row>
      <xdr:rowOff>47375</xdr:rowOff>
    </xdr:from>
    <xdr:to>
      <xdr:col>49</xdr:col>
      <xdr:colOff>592324</xdr:colOff>
      <xdr:row>69</xdr:row>
      <xdr:rowOff>130727</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26841450" y="9115175"/>
          <a:ext cx="3621274" cy="246843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6"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BCEFBD-F215-4462-8910-524EB45AEF9B}">
  <we:reference id="wa200009404" version="1.0.0.8" store="en-US" storeType="OMEX"/>
  <we:alternateReferences>
    <we:reference id="WA200009404" version="1.0.0.8" store="WA200009404" storeType="OMEX"/>
  </we:alternateReferences>
  <we:properties>
    <we:property name="claude.fileId" value="&quot;afb0fe46-8731-448e-9d9a-e89720cf461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5"/>
  <sheetViews>
    <sheetView showGridLines="0" topLeftCell="AR1" zoomScale="150" workbookViewId="0">
      <selection activeCell="J7" sqref="J7"/>
    </sheetView>
  </sheetViews>
  <sheetFormatPr defaultColWidth="8.85546875" defaultRowHeight="12.75" x14ac:dyDescent="0.2"/>
  <cols>
    <col min="1" max="1" width="8.85546875" style="5" bestFit="1" customWidth="1"/>
    <col min="2" max="2" width="43.42578125" style="5" bestFit="1" customWidth="1"/>
    <col min="3" max="3" width="9.140625" style="5" bestFit="1" customWidth="1"/>
    <col min="4" max="4" width="13.7109375" style="5" bestFit="1" customWidth="1"/>
    <col min="5" max="7" width="9.5703125" style="5" bestFit="1" customWidth="1"/>
    <col min="8" max="8" width="6.5703125" style="5" bestFit="1" customWidth="1"/>
    <col min="9" max="9" width="12.42578125" style="5" customWidth="1"/>
    <col min="10" max="10" width="11.5703125" style="5" customWidth="1"/>
    <col min="11" max="253" width="8.85546875" style="5"/>
    <col min="254" max="254" width="8.85546875" style="5" bestFit="1" customWidth="1"/>
    <col min="255" max="255" width="36.42578125" style="5" bestFit="1" customWidth="1"/>
    <col min="256" max="257" width="11.140625" style="5" bestFit="1" customWidth="1"/>
    <col min="258" max="261" width="8.5703125" style="5" bestFit="1" customWidth="1"/>
    <col min="262" max="262" width="8.140625" style="5" bestFit="1" customWidth="1"/>
    <col min="263" max="509" width="8.85546875" style="5"/>
    <col min="510" max="510" width="8.85546875" style="5" bestFit="1" customWidth="1"/>
    <col min="511" max="511" width="36.42578125" style="5" bestFit="1" customWidth="1"/>
    <col min="512" max="513" width="11.140625" style="5" bestFit="1" customWidth="1"/>
    <col min="514" max="517" width="8.5703125" style="5" bestFit="1" customWidth="1"/>
    <col min="518" max="518" width="8.140625" style="5" bestFit="1" customWidth="1"/>
    <col min="519" max="765" width="8.85546875" style="5"/>
    <col min="766" max="766" width="8.85546875" style="5" bestFit="1" customWidth="1"/>
    <col min="767" max="767" width="36.42578125" style="5" bestFit="1" customWidth="1"/>
    <col min="768" max="769" width="11.140625" style="5" bestFit="1" customWidth="1"/>
    <col min="770" max="773" width="8.5703125" style="5" bestFit="1" customWidth="1"/>
    <col min="774" max="774" width="8.140625" style="5" bestFit="1" customWidth="1"/>
    <col min="775" max="1021" width="8.85546875" style="5"/>
    <col min="1022" max="1022" width="8.85546875" style="5" bestFit="1" customWidth="1"/>
    <col min="1023" max="1023" width="36.42578125" style="5" bestFit="1" customWidth="1"/>
    <col min="1024" max="1025" width="11.140625" style="5" bestFit="1" customWidth="1"/>
    <col min="1026" max="1029" width="8.5703125" style="5" bestFit="1" customWidth="1"/>
    <col min="1030" max="1030" width="8.140625" style="5" bestFit="1" customWidth="1"/>
    <col min="1031" max="1277" width="8.85546875" style="5"/>
    <col min="1278" max="1278" width="8.85546875" style="5" bestFit="1" customWidth="1"/>
    <col min="1279" max="1279" width="36.42578125" style="5" bestFit="1" customWidth="1"/>
    <col min="1280" max="1281" width="11.140625" style="5" bestFit="1" customWidth="1"/>
    <col min="1282" max="1285" width="8.5703125" style="5" bestFit="1" customWidth="1"/>
    <col min="1286" max="1286" width="8.140625" style="5" bestFit="1" customWidth="1"/>
    <col min="1287" max="1533" width="8.85546875" style="5"/>
    <col min="1534" max="1534" width="8.85546875" style="5" bestFit="1" customWidth="1"/>
    <col min="1535" max="1535" width="36.42578125" style="5" bestFit="1" customWidth="1"/>
    <col min="1536" max="1537" width="11.140625" style="5" bestFit="1" customWidth="1"/>
    <col min="1538" max="1541" width="8.5703125" style="5" bestFit="1" customWidth="1"/>
    <col min="1542" max="1542" width="8.140625" style="5" bestFit="1" customWidth="1"/>
    <col min="1543" max="1789" width="8.85546875" style="5"/>
    <col min="1790" max="1790" width="8.85546875" style="5" bestFit="1" customWidth="1"/>
    <col min="1791" max="1791" width="36.42578125" style="5" bestFit="1" customWidth="1"/>
    <col min="1792" max="1793" width="11.140625" style="5" bestFit="1" customWidth="1"/>
    <col min="1794" max="1797" width="8.5703125" style="5" bestFit="1" customWidth="1"/>
    <col min="1798" max="1798" width="8.140625" style="5" bestFit="1" customWidth="1"/>
    <col min="1799" max="2045" width="8.85546875" style="5"/>
    <col min="2046" max="2046" width="8.85546875" style="5" bestFit="1" customWidth="1"/>
    <col min="2047" max="2047" width="36.42578125" style="5" bestFit="1" customWidth="1"/>
    <col min="2048" max="2049" width="11.140625" style="5" bestFit="1" customWidth="1"/>
    <col min="2050" max="2053" width="8.5703125" style="5" bestFit="1" customWidth="1"/>
    <col min="2054" max="2054" width="8.140625" style="5" bestFit="1" customWidth="1"/>
    <col min="2055" max="2301" width="8.85546875" style="5"/>
    <col min="2302" max="2302" width="8.85546875" style="5" bestFit="1" customWidth="1"/>
    <col min="2303" max="2303" width="36.42578125" style="5" bestFit="1" customWidth="1"/>
    <col min="2304" max="2305" width="11.140625" style="5" bestFit="1" customWidth="1"/>
    <col min="2306" max="2309" width="8.5703125" style="5" bestFit="1" customWidth="1"/>
    <col min="2310" max="2310" width="8.140625" style="5" bestFit="1" customWidth="1"/>
    <col min="2311" max="2557" width="8.85546875" style="5"/>
    <col min="2558" max="2558" width="8.85546875" style="5" bestFit="1" customWidth="1"/>
    <col min="2559" max="2559" width="36.42578125" style="5" bestFit="1" customWidth="1"/>
    <col min="2560" max="2561" width="11.140625" style="5" bestFit="1" customWidth="1"/>
    <col min="2562" max="2565" width="8.5703125" style="5" bestFit="1" customWidth="1"/>
    <col min="2566" max="2566" width="8.140625" style="5" bestFit="1" customWidth="1"/>
    <col min="2567" max="2813" width="8.85546875" style="5"/>
    <col min="2814" max="2814" width="8.85546875" style="5" bestFit="1" customWidth="1"/>
    <col min="2815" max="2815" width="36.42578125" style="5" bestFit="1" customWidth="1"/>
    <col min="2816" max="2817" width="11.140625" style="5" bestFit="1" customWidth="1"/>
    <col min="2818" max="2821" width="8.5703125" style="5" bestFit="1" customWidth="1"/>
    <col min="2822" max="2822" width="8.140625" style="5" bestFit="1" customWidth="1"/>
    <col min="2823" max="3069" width="8.85546875" style="5"/>
    <col min="3070" max="3070" width="8.85546875" style="5" bestFit="1" customWidth="1"/>
    <col min="3071" max="3071" width="36.42578125" style="5" bestFit="1" customWidth="1"/>
    <col min="3072" max="3073" width="11.140625" style="5" bestFit="1" customWidth="1"/>
    <col min="3074" max="3077" width="8.5703125" style="5" bestFit="1" customWidth="1"/>
    <col min="3078" max="3078" width="8.140625" style="5" bestFit="1" customWidth="1"/>
    <col min="3079" max="3325" width="8.85546875" style="5"/>
    <col min="3326" max="3326" width="8.85546875" style="5" bestFit="1" customWidth="1"/>
    <col min="3327" max="3327" width="36.42578125" style="5" bestFit="1" customWidth="1"/>
    <col min="3328" max="3329" width="11.140625" style="5" bestFit="1" customWidth="1"/>
    <col min="3330" max="3333" width="8.5703125" style="5" bestFit="1" customWidth="1"/>
    <col min="3334" max="3334" width="8.140625" style="5" bestFit="1" customWidth="1"/>
    <col min="3335" max="3581" width="8.85546875" style="5"/>
    <col min="3582" max="3582" width="8.85546875" style="5" bestFit="1" customWidth="1"/>
    <col min="3583" max="3583" width="36.42578125" style="5" bestFit="1" customWidth="1"/>
    <col min="3584" max="3585" width="11.140625" style="5" bestFit="1" customWidth="1"/>
    <col min="3586" max="3589" width="8.5703125" style="5" bestFit="1" customWidth="1"/>
    <col min="3590" max="3590" width="8.140625" style="5" bestFit="1" customWidth="1"/>
    <col min="3591" max="3837" width="8.85546875" style="5"/>
    <col min="3838" max="3838" width="8.85546875" style="5" bestFit="1" customWidth="1"/>
    <col min="3839" max="3839" width="36.42578125" style="5" bestFit="1" customWidth="1"/>
    <col min="3840" max="3841" width="11.140625" style="5" bestFit="1" customWidth="1"/>
    <col min="3842" max="3845" width="8.5703125" style="5" bestFit="1" customWidth="1"/>
    <col min="3846" max="3846" width="8.140625" style="5" bestFit="1" customWidth="1"/>
    <col min="3847" max="4093" width="8.85546875" style="5"/>
    <col min="4094" max="4094" width="8.85546875" style="5" bestFit="1" customWidth="1"/>
    <col min="4095" max="4095" width="36.42578125" style="5" bestFit="1" customWidth="1"/>
    <col min="4096" max="4097" width="11.140625" style="5" bestFit="1" customWidth="1"/>
    <col min="4098" max="4101" width="8.5703125" style="5" bestFit="1" customWidth="1"/>
    <col min="4102" max="4102" width="8.140625" style="5" bestFit="1" customWidth="1"/>
    <col min="4103" max="4349" width="8.85546875" style="5"/>
    <col min="4350" max="4350" width="8.85546875" style="5" bestFit="1" customWidth="1"/>
    <col min="4351" max="4351" width="36.42578125" style="5" bestFit="1" customWidth="1"/>
    <col min="4352" max="4353" width="11.140625" style="5" bestFit="1" customWidth="1"/>
    <col min="4354" max="4357" width="8.5703125" style="5" bestFit="1" customWidth="1"/>
    <col min="4358" max="4358" width="8.140625" style="5" bestFit="1" customWidth="1"/>
    <col min="4359" max="4605" width="8.85546875" style="5"/>
    <col min="4606" max="4606" width="8.85546875" style="5" bestFit="1" customWidth="1"/>
    <col min="4607" max="4607" width="36.42578125" style="5" bestFit="1" customWidth="1"/>
    <col min="4608" max="4609" width="11.140625" style="5" bestFit="1" customWidth="1"/>
    <col min="4610" max="4613" width="8.5703125" style="5" bestFit="1" customWidth="1"/>
    <col min="4614" max="4614" width="8.140625" style="5" bestFit="1" customWidth="1"/>
    <col min="4615" max="4861" width="8.85546875" style="5"/>
    <col min="4862" max="4862" width="8.85546875" style="5" bestFit="1" customWidth="1"/>
    <col min="4863" max="4863" width="36.42578125" style="5" bestFit="1" customWidth="1"/>
    <col min="4864" max="4865" width="11.140625" style="5" bestFit="1" customWidth="1"/>
    <col min="4866" max="4869" width="8.5703125" style="5" bestFit="1" customWidth="1"/>
    <col min="4870" max="4870" width="8.140625" style="5" bestFit="1" customWidth="1"/>
    <col min="4871" max="5117" width="8.85546875" style="5"/>
    <col min="5118" max="5118" width="8.85546875" style="5" bestFit="1" customWidth="1"/>
    <col min="5119" max="5119" width="36.42578125" style="5" bestFit="1" customWidth="1"/>
    <col min="5120" max="5121" width="11.140625" style="5" bestFit="1" customWidth="1"/>
    <col min="5122" max="5125" width="8.5703125" style="5" bestFit="1" customWidth="1"/>
    <col min="5126" max="5126" width="8.140625" style="5" bestFit="1" customWidth="1"/>
    <col min="5127" max="5373" width="8.85546875" style="5"/>
    <col min="5374" max="5374" width="8.85546875" style="5" bestFit="1" customWidth="1"/>
    <col min="5375" max="5375" width="36.42578125" style="5" bestFit="1" customWidth="1"/>
    <col min="5376" max="5377" width="11.140625" style="5" bestFit="1" customWidth="1"/>
    <col min="5378" max="5381" width="8.5703125" style="5" bestFit="1" customWidth="1"/>
    <col min="5382" max="5382" width="8.140625" style="5" bestFit="1" customWidth="1"/>
    <col min="5383" max="5629" width="8.85546875" style="5"/>
    <col min="5630" max="5630" width="8.85546875" style="5" bestFit="1" customWidth="1"/>
    <col min="5631" max="5631" width="36.42578125" style="5" bestFit="1" customWidth="1"/>
    <col min="5632" max="5633" width="11.140625" style="5" bestFit="1" customWidth="1"/>
    <col min="5634" max="5637" width="8.5703125" style="5" bestFit="1" customWidth="1"/>
    <col min="5638" max="5638" width="8.140625" style="5" bestFit="1" customWidth="1"/>
    <col min="5639" max="5885" width="8.85546875" style="5"/>
    <col min="5886" max="5886" width="8.85546875" style="5" bestFit="1" customWidth="1"/>
    <col min="5887" max="5887" width="36.42578125" style="5" bestFit="1" customWidth="1"/>
    <col min="5888" max="5889" width="11.140625" style="5" bestFit="1" customWidth="1"/>
    <col min="5890" max="5893" width="8.5703125" style="5" bestFit="1" customWidth="1"/>
    <col min="5894" max="5894" width="8.140625" style="5" bestFit="1" customWidth="1"/>
    <col min="5895" max="6141" width="8.85546875" style="5"/>
    <col min="6142" max="6142" width="8.85546875" style="5" bestFit="1" customWidth="1"/>
    <col min="6143" max="6143" width="36.42578125" style="5" bestFit="1" customWidth="1"/>
    <col min="6144" max="6145" width="11.140625" style="5" bestFit="1" customWidth="1"/>
    <col min="6146" max="6149" width="8.5703125" style="5" bestFit="1" customWidth="1"/>
    <col min="6150" max="6150" width="8.140625" style="5" bestFit="1" customWidth="1"/>
    <col min="6151" max="6397" width="8.85546875" style="5"/>
    <col min="6398" max="6398" width="8.85546875" style="5" bestFit="1" customWidth="1"/>
    <col min="6399" max="6399" width="36.42578125" style="5" bestFit="1" customWidth="1"/>
    <col min="6400" max="6401" width="11.140625" style="5" bestFit="1" customWidth="1"/>
    <col min="6402" max="6405" width="8.5703125" style="5" bestFit="1" customWidth="1"/>
    <col min="6406" max="6406" width="8.140625" style="5" bestFit="1" customWidth="1"/>
    <col min="6407" max="6653" width="8.85546875" style="5"/>
    <col min="6654" max="6654" width="8.85546875" style="5" bestFit="1" customWidth="1"/>
    <col min="6655" max="6655" width="36.42578125" style="5" bestFit="1" customWidth="1"/>
    <col min="6656" max="6657" width="11.140625" style="5" bestFit="1" customWidth="1"/>
    <col min="6658" max="6661" width="8.5703125" style="5" bestFit="1" customWidth="1"/>
    <col min="6662" max="6662" width="8.140625" style="5" bestFit="1" customWidth="1"/>
    <col min="6663" max="6909" width="8.85546875" style="5"/>
    <col min="6910" max="6910" width="8.85546875" style="5" bestFit="1" customWidth="1"/>
    <col min="6911" max="6911" width="36.42578125" style="5" bestFit="1" customWidth="1"/>
    <col min="6912" max="6913" width="11.140625" style="5" bestFit="1" customWidth="1"/>
    <col min="6914" max="6917" width="8.5703125" style="5" bestFit="1" customWidth="1"/>
    <col min="6918" max="6918" width="8.140625" style="5" bestFit="1" customWidth="1"/>
    <col min="6919" max="7165" width="8.85546875" style="5"/>
    <col min="7166" max="7166" width="8.85546875" style="5" bestFit="1" customWidth="1"/>
    <col min="7167" max="7167" width="36.42578125" style="5" bestFit="1" customWidth="1"/>
    <col min="7168" max="7169" width="11.140625" style="5" bestFit="1" customWidth="1"/>
    <col min="7170" max="7173" width="8.5703125" style="5" bestFit="1" customWidth="1"/>
    <col min="7174" max="7174" width="8.140625" style="5" bestFit="1" customWidth="1"/>
    <col min="7175" max="7421" width="8.85546875" style="5"/>
    <col min="7422" max="7422" width="8.85546875" style="5" bestFit="1" customWidth="1"/>
    <col min="7423" max="7423" width="36.42578125" style="5" bestFit="1" customWidth="1"/>
    <col min="7424" max="7425" width="11.140625" style="5" bestFit="1" customWidth="1"/>
    <col min="7426" max="7429" width="8.5703125" style="5" bestFit="1" customWidth="1"/>
    <col min="7430" max="7430" width="8.140625" style="5" bestFit="1" customWidth="1"/>
    <col min="7431" max="7677" width="8.85546875" style="5"/>
    <col min="7678" max="7678" width="8.85546875" style="5" bestFit="1" customWidth="1"/>
    <col min="7679" max="7679" width="36.42578125" style="5" bestFit="1" customWidth="1"/>
    <col min="7680" max="7681" width="11.140625" style="5" bestFit="1" customWidth="1"/>
    <col min="7682" max="7685" width="8.5703125" style="5" bestFit="1" customWidth="1"/>
    <col min="7686" max="7686" width="8.140625" style="5" bestFit="1" customWidth="1"/>
    <col min="7687" max="7933" width="8.85546875" style="5"/>
    <col min="7934" max="7934" width="8.85546875" style="5" bestFit="1" customWidth="1"/>
    <col min="7935" max="7935" width="36.42578125" style="5" bestFit="1" customWidth="1"/>
    <col min="7936" max="7937" width="11.140625" style="5" bestFit="1" customWidth="1"/>
    <col min="7938" max="7941" width="8.5703125" style="5" bestFit="1" customWidth="1"/>
    <col min="7942" max="7942" width="8.140625" style="5" bestFit="1" customWidth="1"/>
    <col min="7943" max="8189" width="8.85546875" style="5"/>
    <col min="8190" max="8190" width="8.85546875" style="5" bestFit="1" customWidth="1"/>
    <col min="8191" max="8191" width="36.42578125" style="5" bestFit="1" customWidth="1"/>
    <col min="8192" max="8193" width="11.140625" style="5" bestFit="1" customWidth="1"/>
    <col min="8194" max="8197" width="8.5703125" style="5" bestFit="1" customWidth="1"/>
    <col min="8198" max="8198" width="8.140625" style="5" bestFit="1" customWidth="1"/>
    <col min="8199" max="8445" width="8.85546875" style="5"/>
    <col min="8446" max="8446" width="8.85546875" style="5" bestFit="1" customWidth="1"/>
    <col min="8447" max="8447" width="36.42578125" style="5" bestFit="1" customWidth="1"/>
    <col min="8448" max="8449" width="11.140625" style="5" bestFit="1" customWidth="1"/>
    <col min="8450" max="8453" width="8.5703125" style="5" bestFit="1" customWidth="1"/>
    <col min="8454" max="8454" width="8.140625" style="5" bestFit="1" customWidth="1"/>
    <col min="8455" max="8701" width="8.85546875" style="5"/>
    <col min="8702" max="8702" width="8.85546875" style="5" bestFit="1" customWidth="1"/>
    <col min="8703" max="8703" width="36.42578125" style="5" bestFit="1" customWidth="1"/>
    <col min="8704" max="8705" width="11.140625" style="5" bestFit="1" customWidth="1"/>
    <col min="8706" max="8709" width="8.5703125" style="5" bestFit="1" customWidth="1"/>
    <col min="8710" max="8710" width="8.140625" style="5" bestFit="1" customWidth="1"/>
    <col min="8711" max="8957" width="8.85546875" style="5"/>
    <col min="8958" max="8958" width="8.85546875" style="5" bestFit="1" customWidth="1"/>
    <col min="8959" max="8959" width="36.42578125" style="5" bestFit="1" customWidth="1"/>
    <col min="8960" max="8961" width="11.140625" style="5" bestFit="1" customWidth="1"/>
    <col min="8962" max="8965" width="8.5703125" style="5" bestFit="1" customWidth="1"/>
    <col min="8966" max="8966" width="8.140625" style="5" bestFit="1" customWidth="1"/>
    <col min="8967" max="9213" width="8.85546875" style="5"/>
    <col min="9214" max="9214" width="8.85546875" style="5" bestFit="1" customWidth="1"/>
    <col min="9215" max="9215" width="36.42578125" style="5" bestFit="1" customWidth="1"/>
    <col min="9216" max="9217" width="11.140625" style="5" bestFit="1" customWidth="1"/>
    <col min="9218" max="9221" width="8.5703125" style="5" bestFit="1" customWidth="1"/>
    <col min="9222" max="9222" width="8.140625" style="5" bestFit="1" customWidth="1"/>
    <col min="9223" max="9469" width="8.85546875" style="5"/>
    <col min="9470" max="9470" width="8.85546875" style="5" bestFit="1" customWidth="1"/>
    <col min="9471" max="9471" width="36.42578125" style="5" bestFit="1" customWidth="1"/>
    <col min="9472" max="9473" width="11.140625" style="5" bestFit="1" customWidth="1"/>
    <col min="9474" max="9477" width="8.5703125" style="5" bestFit="1" customWidth="1"/>
    <col min="9478" max="9478" width="8.140625" style="5" bestFit="1" customWidth="1"/>
    <col min="9479" max="9725" width="8.85546875" style="5"/>
    <col min="9726" max="9726" width="8.85546875" style="5" bestFit="1" customWidth="1"/>
    <col min="9727" max="9727" width="36.42578125" style="5" bestFit="1" customWidth="1"/>
    <col min="9728" max="9729" width="11.140625" style="5" bestFit="1" customWidth="1"/>
    <col min="9730" max="9733" width="8.5703125" style="5" bestFit="1" customWidth="1"/>
    <col min="9734" max="9734" width="8.140625" style="5" bestFit="1" customWidth="1"/>
    <col min="9735" max="9981" width="8.85546875" style="5"/>
    <col min="9982" max="9982" width="8.85546875" style="5" bestFit="1" customWidth="1"/>
    <col min="9983" max="9983" width="36.42578125" style="5" bestFit="1" customWidth="1"/>
    <col min="9984" max="9985" width="11.140625" style="5" bestFit="1" customWidth="1"/>
    <col min="9986" max="9989" width="8.5703125" style="5" bestFit="1" customWidth="1"/>
    <col min="9990" max="9990" width="8.140625" style="5" bestFit="1" customWidth="1"/>
    <col min="9991" max="10237" width="8.85546875" style="5"/>
    <col min="10238" max="10238" width="8.85546875" style="5" bestFit="1" customWidth="1"/>
    <col min="10239" max="10239" width="36.42578125" style="5" bestFit="1" customWidth="1"/>
    <col min="10240" max="10241" width="11.140625" style="5" bestFit="1" customWidth="1"/>
    <col min="10242" max="10245" width="8.5703125" style="5" bestFit="1" customWidth="1"/>
    <col min="10246" max="10246" width="8.140625" style="5" bestFit="1" customWidth="1"/>
    <col min="10247" max="10493" width="8.85546875" style="5"/>
    <col min="10494" max="10494" width="8.85546875" style="5" bestFit="1" customWidth="1"/>
    <col min="10495" max="10495" width="36.42578125" style="5" bestFit="1" customWidth="1"/>
    <col min="10496" max="10497" width="11.140625" style="5" bestFit="1" customWidth="1"/>
    <col min="10498" max="10501" width="8.5703125" style="5" bestFit="1" customWidth="1"/>
    <col min="10502" max="10502" width="8.140625" style="5" bestFit="1" customWidth="1"/>
    <col min="10503" max="10749" width="8.85546875" style="5"/>
    <col min="10750" max="10750" width="8.85546875" style="5" bestFit="1" customWidth="1"/>
    <col min="10751" max="10751" width="36.42578125" style="5" bestFit="1" customWidth="1"/>
    <col min="10752" max="10753" width="11.140625" style="5" bestFit="1" customWidth="1"/>
    <col min="10754" max="10757" width="8.5703125" style="5" bestFit="1" customWidth="1"/>
    <col min="10758" max="10758" width="8.140625" style="5" bestFit="1" customWidth="1"/>
    <col min="10759" max="11005" width="8.85546875" style="5"/>
    <col min="11006" max="11006" width="8.85546875" style="5" bestFit="1" customWidth="1"/>
    <col min="11007" max="11007" width="36.42578125" style="5" bestFit="1" customWidth="1"/>
    <col min="11008" max="11009" width="11.140625" style="5" bestFit="1" customWidth="1"/>
    <col min="11010" max="11013" width="8.5703125" style="5" bestFit="1" customWidth="1"/>
    <col min="11014" max="11014" width="8.140625" style="5" bestFit="1" customWidth="1"/>
    <col min="11015" max="11261" width="8.85546875" style="5"/>
    <col min="11262" max="11262" width="8.85546875" style="5" bestFit="1" customWidth="1"/>
    <col min="11263" max="11263" width="36.42578125" style="5" bestFit="1" customWidth="1"/>
    <col min="11264" max="11265" width="11.140625" style="5" bestFit="1" customWidth="1"/>
    <col min="11266" max="11269" width="8.5703125" style="5" bestFit="1" customWidth="1"/>
    <col min="11270" max="11270" width="8.140625" style="5" bestFit="1" customWidth="1"/>
    <col min="11271" max="11517" width="8.85546875" style="5"/>
    <col min="11518" max="11518" width="8.85546875" style="5" bestFit="1" customWidth="1"/>
    <col min="11519" max="11519" width="36.42578125" style="5" bestFit="1" customWidth="1"/>
    <col min="11520" max="11521" width="11.140625" style="5" bestFit="1" customWidth="1"/>
    <col min="11522" max="11525" width="8.5703125" style="5" bestFit="1" customWidth="1"/>
    <col min="11526" max="11526" width="8.140625" style="5" bestFit="1" customWidth="1"/>
    <col min="11527" max="11773" width="8.85546875" style="5"/>
    <col min="11774" max="11774" width="8.85546875" style="5" bestFit="1" customWidth="1"/>
    <col min="11775" max="11775" width="36.42578125" style="5" bestFit="1" customWidth="1"/>
    <col min="11776" max="11777" width="11.140625" style="5" bestFit="1" customWidth="1"/>
    <col min="11778" max="11781" width="8.5703125" style="5" bestFit="1" customWidth="1"/>
    <col min="11782" max="11782" width="8.140625" style="5" bestFit="1" customWidth="1"/>
    <col min="11783" max="12029" width="8.85546875" style="5"/>
    <col min="12030" max="12030" width="8.85546875" style="5" bestFit="1" customWidth="1"/>
    <col min="12031" max="12031" width="36.42578125" style="5" bestFit="1" customWidth="1"/>
    <col min="12032" max="12033" width="11.140625" style="5" bestFit="1" customWidth="1"/>
    <col min="12034" max="12037" width="8.5703125" style="5" bestFit="1" customWidth="1"/>
    <col min="12038" max="12038" width="8.140625" style="5" bestFit="1" customWidth="1"/>
    <col min="12039" max="12285" width="8.85546875" style="5"/>
    <col min="12286" max="12286" width="8.85546875" style="5" bestFit="1" customWidth="1"/>
    <col min="12287" max="12287" width="36.42578125" style="5" bestFit="1" customWidth="1"/>
    <col min="12288" max="12289" width="11.140625" style="5" bestFit="1" customWidth="1"/>
    <col min="12290" max="12293" width="8.5703125" style="5" bestFit="1" customWidth="1"/>
    <col min="12294" max="12294" width="8.140625" style="5" bestFit="1" customWidth="1"/>
    <col min="12295" max="12541" width="8.85546875" style="5"/>
    <col min="12542" max="12542" width="8.85546875" style="5" bestFit="1" customWidth="1"/>
    <col min="12543" max="12543" width="36.42578125" style="5" bestFit="1" customWidth="1"/>
    <col min="12544" max="12545" width="11.140625" style="5" bestFit="1" customWidth="1"/>
    <col min="12546" max="12549" width="8.5703125" style="5" bestFit="1" customWidth="1"/>
    <col min="12550" max="12550" width="8.140625" style="5" bestFit="1" customWidth="1"/>
    <col min="12551" max="12797" width="8.85546875" style="5"/>
    <col min="12798" max="12798" width="8.85546875" style="5" bestFit="1" customWidth="1"/>
    <col min="12799" max="12799" width="36.42578125" style="5" bestFit="1" customWidth="1"/>
    <col min="12800" max="12801" width="11.140625" style="5" bestFit="1" customWidth="1"/>
    <col min="12802" max="12805" width="8.5703125" style="5" bestFit="1" customWidth="1"/>
    <col min="12806" max="12806" width="8.140625" style="5" bestFit="1" customWidth="1"/>
    <col min="12807" max="13053" width="8.85546875" style="5"/>
    <col min="13054" max="13054" width="8.85546875" style="5" bestFit="1" customWidth="1"/>
    <col min="13055" max="13055" width="36.42578125" style="5" bestFit="1" customWidth="1"/>
    <col min="13056" max="13057" width="11.140625" style="5" bestFit="1" customWidth="1"/>
    <col min="13058" max="13061" width="8.5703125" style="5" bestFit="1" customWidth="1"/>
    <col min="13062" max="13062" width="8.140625" style="5" bestFit="1" customWidth="1"/>
    <col min="13063" max="13309" width="8.85546875" style="5"/>
    <col min="13310" max="13310" width="8.85546875" style="5" bestFit="1" customWidth="1"/>
    <col min="13311" max="13311" width="36.42578125" style="5" bestFit="1" customWidth="1"/>
    <col min="13312" max="13313" width="11.140625" style="5" bestFit="1" customWidth="1"/>
    <col min="13314" max="13317" width="8.5703125" style="5" bestFit="1" customWidth="1"/>
    <col min="13318" max="13318" width="8.140625" style="5" bestFit="1" customWidth="1"/>
    <col min="13319" max="13565" width="8.85546875" style="5"/>
    <col min="13566" max="13566" width="8.85546875" style="5" bestFit="1" customWidth="1"/>
    <col min="13567" max="13567" width="36.42578125" style="5" bestFit="1" customWidth="1"/>
    <col min="13568" max="13569" width="11.140625" style="5" bestFit="1" customWidth="1"/>
    <col min="13570" max="13573" width="8.5703125" style="5" bestFit="1" customWidth="1"/>
    <col min="13574" max="13574" width="8.140625" style="5" bestFit="1" customWidth="1"/>
    <col min="13575" max="13821" width="8.85546875" style="5"/>
    <col min="13822" max="13822" width="8.85546875" style="5" bestFit="1" customWidth="1"/>
    <col min="13823" max="13823" width="36.42578125" style="5" bestFit="1" customWidth="1"/>
    <col min="13824" max="13825" width="11.140625" style="5" bestFit="1" customWidth="1"/>
    <col min="13826" max="13829" width="8.5703125" style="5" bestFit="1" customWidth="1"/>
    <col min="13830" max="13830" width="8.140625" style="5" bestFit="1" customWidth="1"/>
    <col min="13831" max="14077" width="8.85546875" style="5"/>
    <col min="14078" max="14078" width="8.85546875" style="5" bestFit="1" customWidth="1"/>
    <col min="14079" max="14079" width="36.42578125" style="5" bestFit="1" customWidth="1"/>
    <col min="14080" max="14081" width="11.140625" style="5" bestFit="1" customWidth="1"/>
    <col min="14082" max="14085" width="8.5703125" style="5" bestFit="1" customWidth="1"/>
    <col min="14086" max="14086" width="8.140625" style="5" bestFit="1" customWidth="1"/>
    <col min="14087" max="14333" width="8.85546875" style="5"/>
    <col min="14334" max="14334" width="8.85546875" style="5" bestFit="1" customWidth="1"/>
    <col min="14335" max="14335" width="36.42578125" style="5" bestFit="1" customWidth="1"/>
    <col min="14336" max="14337" width="11.140625" style="5" bestFit="1" customWidth="1"/>
    <col min="14338" max="14341" width="8.5703125" style="5" bestFit="1" customWidth="1"/>
    <col min="14342" max="14342" width="8.140625" style="5" bestFit="1" customWidth="1"/>
    <col min="14343" max="14589" width="8.85546875" style="5"/>
    <col min="14590" max="14590" width="8.85546875" style="5" bestFit="1" customWidth="1"/>
    <col min="14591" max="14591" width="36.42578125" style="5" bestFit="1" customWidth="1"/>
    <col min="14592" max="14593" width="11.140625" style="5" bestFit="1" customWidth="1"/>
    <col min="14594" max="14597" width="8.5703125" style="5" bestFit="1" customWidth="1"/>
    <col min="14598" max="14598" width="8.140625" style="5" bestFit="1" customWidth="1"/>
    <col min="14599" max="14845" width="8.85546875" style="5"/>
    <col min="14846" max="14846" width="8.85546875" style="5" bestFit="1" customWidth="1"/>
    <col min="14847" max="14847" width="36.42578125" style="5" bestFit="1" customWidth="1"/>
    <col min="14848" max="14849" width="11.140625" style="5" bestFit="1" customWidth="1"/>
    <col min="14850" max="14853" width="8.5703125" style="5" bestFit="1" customWidth="1"/>
    <col min="14854" max="14854" width="8.140625" style="5" bestFit="1" customWidth="1"/>
    <col min="14855" max="15101" width="8.85546875" style="5"/>
    <col min="15102" max="15102" width="8.85546875" style="5" bestFit="1" customWidth="1"/>
    <col min="15103" max="15103" width="36.42578125" style="5" bestFit="1" customWidth="1"/>
    <col min="15104" max="15105" width="11.140625" style="5" bestFit="1" customWidth="1"/>
    <col min="15106" max="15109" width="8.5703125" style="5" bestFit="1" customWidth="1"/>
    <col min="15110" max="15110" width="8.140625" style="5" bestFit="1" customWidth="1"/>
    <col min="15111" max="15357" width="8.85546875" style="5"/>
    <col min="15358" max="15358" width="8.85546875" style="5" bestFit="1" customWidth="1"/>
    <col min="15359" max="15359" width="36.42578125" style="5" bestFit="1" customWidth="1"/>
    <col min="15360" max="15361" width="11.140625" style="5" bestFit="1" customWidth="1"/>
    <col min="15362" max="15365" width="8.5703125" style="5" bestFit="1" customWidth="1"/>
    <col min="15366" max="15366" width="8.140625" style="5" bestFit="1" customWidth="1"/>
    <col min="15367" max="15613" width="8.85546875" style="5"/>
    <col min="15614" max="15614" width="8.85546875" style="5" bestFit="1" customWidth="1"/>
    <col min="15615" max="15615" width="36.42578125" style="5" bestFit="1" customWidth="1"/>
    <col min="15616" max="15617" width="11.140625" style="5" bestFit="1" customWidth="1"/>
    <col min="15618" max="15621" width="8.5703125" style="5" bestFit="1" customWidth="1"/>
    <col min="15622" max="15622" width="8.140625" style="5" bestFit="1" customWidth="1"/>
    <col min="15623" max="15869" width="8.85546875" style="5"/>
    <col min="15870" max="15870" width="8.85546875" style="5" bestFit="1" customWidth="1"/>
    <col min="15871" max="15871" width="36.42578125" style="5" bestFit="1" customWidth="1"/>
    <col min="15872" max="15873" width="11.140625" style="5" bestFit="1" customWidth="1"/>
    <col min="15874" max="15877" width="8.5703125" style="5" bestFit="1" customWidth="1"/>
    <col min="15878" max="15878" width="8.140625" style="5" bestFit="1" customWidth="1"/>
    <col min="15879" max="16125" width="8.85546875" style="5"/>
    <col min="16126" max="16126" width="8.85546875" style="5" bestFit="1" customWidth="1"/>
    <col min="16127" max="16127" width="36.42578125" style="5" bestFit="1" customWidth="1"/>
    <col min="16128" max="16129" width="11.140625" style="5" bestFit="1" customWidth="1"/>
    <col min="16130" max="16133" width="8.5703125" style="5" bestFit="1" customWidth="1"/>
    <col min="16134" max="16134" width="8.140625" style="5" bestFit="1" customWidth="1"/>
    <col min="16135" max="16384" width="8.85546875" style="5"/>
  </cols>
  <sheetData>
    <row r="1" spans="2:32" x14ac:dyDescent="0.2">
      <c r="B1" s="52" t="s">
        <v>301</v>
      </c>
    </row>
    <row r="2" spans="2:32" x14ac:dyDescent="0.2">
      <c r="B2" s="41" t="str">
        <f>'PepsiCo-IS'!A2</f>
        <v>(in USD million except per Share Data)</v>
      </c>
    </row>
    <row r="3" spans="2:32" x14ac:dyDescent="0.2">
      <c r="B3" s="5" t="s">
        <v>285</v>
      </c>
      <c r="C3" s="261">
        <v>44104</v>
      </c>
    </row>
    <row r="5" spans="2:32" x14ac:dyDescent="0.2">
      <c r="B5" s="5" t="s">
        <v>290</v>
      </c>
      <c r="E5" s="37">
        <v>2</v>
      </c>
    </row>
    <row r="6" spans="2:32" x14ac:dyDescent="0.2">
      <c r="AF6" s="5" t="s">
        <v>291</v>
      </c>
    </row>
    <row r="7" spans="2:32" s="24" customFormat="1" x14ac:dyDescent="0.2">
      <c r="B7" s="38"/>
      <c r="C7" s="166">
        <f>'PepsiCo-IS'!I3</f>
        <v>6</v>
      </c>
      <c r="D7" s="166">
        <f>'PepsiCo-IS'!K3</f>
        <v>12</v>
      </c>
      <c r="E7" s="166">
        <f>'PepsiCo-IS'!L3</f>
        <v>12</v>
      </c>
      <c r="F7" s="166">
        <f>'PepsiCo-IS'!M3</f>
        <v>12</v>
      </c>
      <c r="G7" s="166">
        <f>'PepsiCo-IS'!N3</f>
        <v>12</v>
      </c>
      <c r="H7" s="55"/>
      <c r="AF7" s="5" t="s">
        <v>292</v>
      </c>
    </row>
    <row r="8" spans="2:32" s="24" customFormat="1" x14ac:dyDescent="0.2">
      <c r="B8" s="38" t="s">
        <v>0</v>
      </c>
      <c r="C8" s="161">
        <f>'PepsiCo-IS'!I4</f>
        <v>44196</v>
      </c>
      <c r="D8" s="161">
        <f>'PepsiCo-IS'!K4</f>
        <v>44561</v>
      </c>
      <c r="E8" s="161">
        <f>'PepsiCo-IS'!L4</f>
        <v>44926</v>
      </c>
      <c r="F8" s="161">
        <f>'PepsiCo-IS'!M4</f>
        <v>45291</v>
      </c>
      <c r="G8" s="161">
        <f>'PepsiCo-IS'!N4</f>
        <v>45657</v>
      </c>
      <c r="H8" s="55" t="s">
        <v>66</v>
      </c>
      <c r="J8" s="5"/>
      <c r="K8" s="43"/>
    </row>
    <row r="9" spans="2:32" s="24" customFormat="1" x14ac:dyDescent="0.2">
      <c r="B9" s="38"/>
      <c r="C9" s="45"/>
      <c r="D9" s="45"/>
      <c r="E9" s="45"/>
      <c r="F9" s="45"/>
      <c r="G9" s="45"/>
      <c r="H9" s="55"/>
    </row>
    <row r="10" spans="2:32" x14ac:dyDescent="0.2">
      <c r="B10" s="5" t="s">
        <v>1</v>
      </c>
      <c r="C10" s="37">
        <f>'PepsiCo-IS'!I22</f>
        <v>6280.1228277690443</v>
      </c>
      <c r="D10" s="37">
        <f>'PepsiCo-IS'!K22</f>
        <v>11541.677328205271</v>
      </c>
      <c r="E10" s="37">
        <f>'PepsiCo-IS'!L22</f>
        <v>12019.53004107609</v>
      </c>
      <c r="F10" s="37">
        <f>'PepsiCo-IS'!M22</f>
        <v>12523.531221052552</v>
      </c>
      <c r="G10" s="37">
        <f>'PepsiCo-IS'!N22</f>
        <v>13055.350899768051</v>
      </c>
      <c r="H10" s="37"/>
    </row>
    <row r="11" spans="2:32" x14ac:dyDescent="0.2">
      <c r="B11" s="5" t="s">
        <v>277</v>
      </c>
      <c r="C11" s="167">
        <f>'PepsiCo-IS'!I68</f>
        <v>0.21485287248949089</v>
      </c>
      <c r="D11" s="27">
        <f>'PepsiCo-IS'!K68</f>
        <v>0.22619544418176762</v>
      </c>
      <c r="E11" s="27">
        <f>'PepsiCo-IS'!L68</f>
        <v>0.24079696278784507</v>
      </c>
      <c r="F11" s="27">
        <f>'PepsiCo-IS'!M68</f>
        <v>0.25539848139392252</v>
      </c>
      <c r="G11" s="27">
        <f>'PepsiCo-IS'!N68</f>
        <v>0.26999999999999996</v>
      </c>
      <c r="H11" s="262">
        <v>0.27</v>
      </c>
      <c r="J11" s="307"/>
    </row>
    <row r="12" spans="2:32" x14ac:dyDescent="0.2">
      <c r="B12" s="22" t="s">
        <v>2</v>
      </c>
      <c r="C12" s="51">
        <f>-C10*C11</f>
        <v>-1349.3024291330034</v>
      </c>
      <c r="D12" s="51">
        <f t="shared" ref="D12:G12" si="0">-D10*D11</f>
        <v>-2610.6748298560283</v>
      </c>
      <c r="E12" s="51">
        <f t="shared" si="0"/>
        <v>-2894.266328028385</v>
      </c>
      <c r="F12" s="51">
        <f t="shared" si="0"/>
        <v>-3198.490855546198</v>
      </c>
      <c r="G12" s="51">
        <f t="shared" si="0"/>
        <v>-3524.9447429373731</v>
      </c>
      <c r="H12" s="51"/>
    </row>
    <row r="13" spans="2:32" s="24" customFormat="1" x14ac:dyDescent="0.2">
      <c r="B13" s="24" t="s">
        <v>3</v>
      </c>
      <c r="C13" s="56">
        <f>C12+C10</f>
        <v>4930.8203986360404</v>
      </c>
      <c r="D13" s="56">
        <f t="shared" ref="D13:G13" si="1">D12+D10</f>
        <v>8931.0024983492422</v>
      </c>
      <c r="E13" s="56">
        <f t="shared" si="1"/>
        <v>9125.2637130477051</v>
      </c>
      <c r="F13" s="56">
        <f t="shared" si="1"/>
        <v>9325.0403655063528</v>
      </c>
      <c r="G13" s="56">
        <f t="shared" si="1"/>
        <v>9530.4061568306788</v>
      </c>
      <c r="H13" s="56"/>
      <c r="I13" s="5"/>
    </row>
    <row r="14" spans="2:32" x14ac:dyDescent="0.2">
      <c r="B14" s="22" t="s">
        <v>4</v>
      </c>
      <c r="C14" s="51">
        <f>'PepsiCo-CFS'!B8</f>
        <v>1267.4708750799546</v>
      </c>
      <c r="D14" s="51">
        <f>'PepsiCo-CFS'!C8</f>
        <v>2632.5474969754127</v>
      </c>
      <c r="E14" s="51">
        <f>'PepsiCo-CFS'!D8</f>
        <v>2733.9969966248545</v>
      </c>
      <c r="F14" s="51">
        <f>'PepsiCo-CFS'!E8</f>
        <v>2841.4157826266905</v>
      </c>
      <c r="G14" s="51">
        <f>'PepsiCo-CFS'!F8</f>
        <v>2955.1631531324419</v>
      </c>
      <c r="H14" s="51"/>
      <c r="I14" s="363" t="s">
        <v>582</v>
      </c>
      <c r="K14" s="27"/>
    </row>
    <row r="15" spans="2:32" x14ac:dyDescent="0.2">
      <c r="B15" s="22" t="s">
        <v>5</v>
      </c>
      <c r="C15" s="51">
        <f>SUM('PepsiCo-CFS'!B11:B14)</f>
        <v>2918.1112040429016</v>
      </c>
      <c r="D15" s="51">
        <f>SUM('PepsiCo-CFS'!C11:C14)</f>
        <v>374.6633309142801</v>
      </c>
      <c r="E15" s="51">
        <f>SUM('PepsiCo-CFS'!D11:D14)</f>
        <v>146.34667053903354</v>
      </c>
      <c r="F15" s="51">
        <f>SUM('PepsiCo-CFS'!E11:E14)</f>
        <v>154.46044290549435</v>
      </c>
      <c r="G15" s="51">
        <f>SUM('PepsiCo-CFS'!F11:F14)</f>
        <v>163.08687628210441</v>
      </c>
      <c r="H15" s="37"/>
      <c r="I15" s="363"/>
    </row>
    <row r="16" spans="2:32" ht="13.5" thickBot="1" x14ac:dyDescent="0.25">
      <c r="B16" s="22" t="s">
        <v>6</v>
      </c>
      <c r="C16" s="51">
        <f>'PepsiCo-CFS'!B19</f>
        <v>-2348.519719597818</v>
      </c>
      <c r="D16" s="51">
        <f>'PepsiCo-CFS'!C19</f>
        <v>-2100.013311159888</v>
      </c>
      <c r="E16" s="51">
        <f>'PepsiCo-CFS'!D19</f>
        <v>-3479.2285817880256</v>
      </c>
      <c r="F16" s="51">
        <f>'PepsiCo-CFS'!E19</f>
        <v>-3634.7676247243908</v>
      </c>
      <c r="G16" s="51">
        <f>'PepsiCo-CFS'!F19</f>
        <v>-3799.3230986344715</v>
      </c>
      <c r="H16" s="37"/>
      <c r="I16" s="363"/>
    </row>
    <row r="17" spans="1:19" s="24" customFormat="1" ht="13.5" thickBot="1" x14ac:dyDescent="0.25">
      <c r="B17" s="24" t="s">
        <v>244</v>
      </c>
      <c r="C17" s="310">
        <f>SUM(C13:C16)</f>
        <v>6767.8827581610785</v>
      </c>
      <c r="D17" s="311">
        <f t="shared" ref="D17:G17" si="2">SUM(D13:D16)</f>
        <v>9838.2000150790464</v>
      </c>
      <c r="E17" s="311">
        <f t="shared" si="2"/>
        <v>8526.378798423566</v>
      </c>
      <c r="F17" s="311">
        <f t="shared" si="2"/>
        <v>8686.1489663141474</v>
      </c>
      <c r="G17" s="312">
        <f t="shared" si="2"/>
        <v>8849.3330876107539</v>
      </c>
      <c r="H17" s="56">
        <f>G17*(1+D29)</f>
        <v>9027.2046826717306</v>
      </c>
      <c r="I17" s="23"/>
    </row>
    <row r="18" spans="1:19" x14ac:dyDescent="0.2">
      <c r="A18" s="167">
        <f>WACC!N8</f>
        <v>5.2190726249838483E-2</v>
      </c>
      <c r="B18" s="5" t="s">
        <v>7</v>
      </c>
      <c r="C18" s="37"/>
      <c r="D18" s="37"/>
      <c r="E18" s="37"/>
      <c r="F18" s="37"/>
      <c r="G18" s="37"/>
      <c r="H18" s="37"/>
      <c r="J18" s="46"/>
      <c r="K18" s="46"/>
      <c r="L18" s="46"/>
    </row>
    <row r="19" spans="1:19" x14ac:dyDescent="0.2">
      <c r="A19" s="43"/>
      <c r="B19" s="5" t="s">
        <v>286</v>
      </c>
      <c r="C19" s="62">
        <f>_xlfn.DAYS(C8,$C$3)/30/C7</f>
        <v>0.51111111111111118</v>
      </c>
      <c r="D19" s="37">
        <v>1</v>
      </c>
      <c r="E19" s="37">
        <v>1</v>
      </c>
      <c r="F19" s="37">
        <v>1</v>
      </c>
      <c r="G19" s="37">
        <v>1</v>
      </c>
      <c r="H19" s="37"/>
      <c r="J19" s="46"/>
      <c r="K19" s="46"/>
      <c r="L19" s="46"/>
    </row>
    <row r="20" spans="1:19" x14ac:dyDescent="0.2">
      <c r="A20" s="28"/>
      <c r="B20" s="5" t="s">
        <v>287</v>
      </c>
      <c r="C20" s="14">
        <f>_xlfn.DAYS(C8,$C$3)/30/12</f>
        <v>0.25555555555555559</v>
      </c>
      <c r="D20" s="14">
        <f t="shared" ref="D20:G20" si="3">_xlfn.DAYS(D8,$C$3)/30/12</f>
        <v>1.2694444444444444</v>
      </c>
      <c r="E20" s="14">
        <f t="shared" si="3"/>
        <v>2.2833333333333332</v>
      </c>
      <c r="F20" s="14">
        <f t="shared" si="3"/>
        <v>3.2972222222222225</v>
      </c>
      <c r="G20" s="14">
        <f t="shared" si="3"/>
        <v>4.3138888888888891</v>
      </c>
      <c r="H20" s="62"/>
      <c r="I20" s="62" t="s">
        <v>615</v>
      </c>
      <c r="M20" s="5">
        <v>2</v>
      </c>
    </row>
    <row r="21" spans="1:19" x14ac:dyDescent="0.2">
      <c r="A21" s="28"/>
      <c r="B21" s="5" t="s">
        <v>288</v>
      </c>
      <c r="C21" s="14">
        <f>C20/2</f>
        <v>0.1277777777777778</v>
      </c>
      <c r="D21" s="14">
        <f>D20-0.5</f>
        <v>0.76944444444444438</v>
      </c>
      <c r="E21" s="14">
        <f t="shared" ref="E21:G21" si="4">E20-0.5</f>
        <v>1.7833333333333332</v>
      </c>
      <c r="F21" s="14">
        <f t="shared" si="4"/>
        <v>2.7972222222222225</v>
      </c>
      <c r="G21" s="14">
        <f t="shared" si="4"/>
        <v>3.8138888888888891</v>
      </c>
      <c r="H21" s="62"/>
      <c r="I21" s="62" t="s">
        <v>616</v>
      </c>
      <c r="M21" s="5">
        <v>1</v>
      </c>
    </row>
    <row r="22" spans="1:19" x14ac:dyDescent="0.2">
      <c r="A22" s="28"/>
      <c r="B22" s="22" t="s">
        <v>617</v>
      </c>
      <c r="C22" s="187">
        <f>(1+$A$18)^C20</f>
        <v>1.0130861182028217</v>
      </c>
      <c r="D22" s="187">
        <f t="shared" ref="D22:G23" si="5">(1+$A$18)^D20</f>
        <v>1.0667132799412289</v>
      </c>
      <c r="E22" s="187">
        <f t="shared" si="5"/>
        <v>1.1231791662702157</v>
      </c>
      <c r="F22" s="187">
        <f t="shared" si="5"/>
        <v>1.1826340435294496</v>
      </c>
      <c r="G22" s="187">
        <f t="shared" si="5"/>
        <v>1.2454121187514002</v>
      </c>
      <c r="H22" s="57"/>
      <c r="I22" s="364" t="s">
        <v>625</v>
      </c>
    </row>
    <row r="23" spans="1:19" x14ac:dyDescent="0.2">
      <c r="B23" s="22" t="s">
        <v>618</v>
      </c>
      <c r="C23" s="187">
        <f>(1+$A$18)^C21</f>
        <v>1.0065217922145659</v>
      </c>
      <c r="D23" s="187">
        <f t="shared" si="5"/>
        <v>1.0399212840007255</v>
      </c>
      <c r="E23" s="187">
        <f t="shared" si="5"/>
        <v>1.0949689506208637</v>
      </c>
      <c r="F23" s="187">
        <f t="shared" si="5"/>
        <v>1.1529305354836061</v>
      </c>
      <c r="G23" s="187">
        <f t="shared" si="5"/>
        <v>1.2141318515443775</v>
      </c>
      <c r="H23" s="37"/>
      <c r="I23" s="364"/>
    </row>
    <row r="24" spans="1:19" x14ac:dyDescent="0.2">
      <c r="B24" s="5" t="s">
        <v>289</v>
      </c>
      <c r="C24" s="58">
        <f>IF($E$5=2,C17*C19/C22,C17/C23)</f>
        <v>3414.4580744328337</v>
      </c>
      <c r="D24" s="58">
        <f t="shared" ref="D24:G24" si="6">IF($E$5=2,D17*D19/D22,D17/D23)</f>
        <v>9222.9094735007766</v>
      </c>
      <c r="E24" s="58">
        <f t="shared" si="6"/>
        <v>7591.2900225325939</v>
      </c>
      <c r="F24" s="58">
        <f t="shared" si="6"/>
        <v>7344.7479495780708</v>
      </c>
      <c r="G24" s="58">
        <f t="shared" si="6"/>
        <v>7105.545991059359</v>
      </c>
      <c r="H24" s="47"/>
      <c r="K24" s="69"/>
      <c r="L24" s="69"/>
      <c r="M24" s="69"/>
      <c r="N24" s="69"/>
      <c r="O24" s="69"/>
      <c r="P24" s="69"/>
    </row>
    <row r="25" spans="1:19" x14ac:dyDescent="0.2">
      <c r="C25" s="37"/>
      <c r="D25" s="68"/>
      <c r="E25" s="68"/>
      <c r="F25" s="68"/>
      <c r="G25" s="68"/>
      <c r="H25" s="68"/>
    </row>
    <row r="26" spans="1:19" ht="15" x14ac:dyDescent="0.2">
      <c r="B26" s="348" t="s">
        <v>623</v>
      </c>
      <c r="C26" s="348"/>
      <c r="D26" s="348"/>
      <c r="E26" s="47"/>
      <c r="F26" s="47"/>
      <c r="G26" s="349">
        <f>SUM(C24:G24)</f>
        <v>34678.951511103631</v>
      </c>
      <c r="H26" s="68"/>
    </row>
    <row r="27" spans="1:19" x14ac:dyDescent="0.2">
      <c r="D27" s="37"/>
      <c r="E27" s="68"/>
      <c r="F27" s="68"/>
      <c r="G27" s="68"/>
      <c r="H27" s="68"/>
      <c r="J27" s="361" t="s">
        <v>36</v>
      </c>
      <c r="K27" s="361"/>
      <c r="L27" s="361"/>
      <c r="M27" s="361"/>
      <c r="N27" s="361"/>
      <c r="O27" s="361"/>
      <c r="P27" s="361"/>
      <c r="Q27" s="361"/>
      <c r="R27" s="361"/>
    </row>
    <row r="28" spans="1:19" ht="15" customHeight="1" x14ac:dyDescent="0.2">
      <c r="B28" s="24" t="s">
        <v>619</v>
      </c>
      <c r="D28" s="350" t="s">
        <v>8</v>
      </c>
      <c r="E28" s="58"/>
      <c r="F28" s="37"/>
      <c r="G28" s="37"/>
      <c r="H28" s="37"/>
      <c r="I28" s="194">
        <f>D40</f>
        <v>164.16918568204986</v>
      </c>
      <c r="J28" s="174">
        <v>4.4999999999999998E-2</v>
      </c>
      <c r="K28" s="191">
        <f>J28+0.25%</f>
        <v>4.7500000000000001E-2</v>
      </c>
      <c r="L28" s="191">
        <f t="shared" ref="L28:R28" si="7">K28+0.25%</f>
        <v>0.05</v>
      </c>
      <c r="M28" s="191">
        <f t="shared" si="7"/>
        <v>5.2500000000000005E-2</v>
      </c>
      <c r="N28" s="191">
        <f t="shared" si="7"/>
        <v>5.5000000000000007E-2</v>
      </c>
      <c r="O28" s="191">
        <f t="shared" si="7"/>
        <v>5.7500000000000009E-2</v>
      </c>
      <c r="P28" s="191">
        <f t="shared" si="7"/>
        <v>6.0000000000000012E-2</v>
      </c>
      <c r="Q28" s="191">
        <f t="shared" si="7"/>
        <v>6.2500000000000014E-2</v>
      </c>
      <c r="R28" s="191">
        <f t="shared" si="7"/>
        <v>6.5000000000000016E-2</v>
      </c>
      <c r="S28" s="43"/>
    </row>
    <row r="29" spans="1:19" x14ac:dyDescent="0.2">
      <c r="B29" s="5" t="s">
        <v>293</v>
      </c>
      <c r="D29" s="188">
        <v>2.01E-2</v>
      </c>
      <c r="E29" s="58" t="s">
        <v>620</v>
      </c>
      <c r="F29" s="37"/>
      <c r="G29" s="37"/>
      <c r="H29" s="362" t="s">
        <v>298</v>
      </c>
      <c r="I29" s="192">
        <v>0.01</v>
      </c>
      <c r="J29" s="62">
        <f t="dataTable" ref="J29:R37" dt2D="1" dtr="1" r1="A18" r2="D29" ca="1"/>
        <v>153.99954119739829</v>
      </c>
      <c r="K29" s="62">
        <v>142.22178176980711</v>
      </c>
      <c r="L29" s="62">
        <v>131.91634127576589</v>
      </c>
      <c r="M29" s="62">
        <v>122.82339643358371</v>
      </c>
      <c r="N29" s="62">
        <v>114.74086251059778</v>
      </c>
      <c r="O29" s="62">
        <v>107.50919896736575</v>
      </c>
      <c r="P29" s="62">
        <v>101.00077340861728</v>
      </c>
      <c r="Q29" s="193">
        <v>95.112264405376948</v>
      </c>
      <c r="R29" s="193">
        <v>89.759136274704602</v>
      </c>
    </row>
    <row r="30" spans="1:19" x14ac:dyDescent="0.2">
      <c r="B30" s="5" t="s">
        <v>15</v>
      </c>
      <c r="D30" s="37">
        <f>H17/(A18-D29)</f>
        <v>281302.59852617595</v>
      </c>
      <c r="E30" s="37" t="s">
        <v>621</v>
      </c>
      <c r="F30" s="37"/>
      <c r="G30" s="37"/>
      <c r="H30" s="362"/>
      <c r="I30" s="192">
        <f>I29+0.25%</f>
        <v>1.2500000000000001E-2</v>
      </c>
      <c r="J30" s="62">
        <v>166.13944525870369</v>
      </c>
      <c r="K30" s="62">
        <v>152.66004846733722</v>
      </c>
      <c r="L30" s="62">
        <v>140.97795782512091</v>
      </c>
      <c r="M30" s="62">
        <v>130.75617653808931</v>
      </c>
      <c r="N30" s="62">
        <v>121.73700121296037</v>
      </c>
      <c r="O30" s="62">
        <v>113.71999591176495</v>
      </c>
      <c r="P30" s="62">
        <v>106.54692176818793</v>
      </c>
      <c r="Q30" s="193">
        <v>100.09118771902062</v>
      </c>
      <c r="R30" s="193">
        <v>94.250315312354985</v>
      </c>
    </row>
    <row r="31" spans="1:19" x14ac:dyDescent="0.2">
      <c r="B31" s="5" t="s">
        <v>17</v>
      </c>
      <c r="D31" s="37">
        <f>D30/CHOOSE(E5,G23,G22)</f>
        <v>225871.09462865879</v>
      </c>
      <c r="E31" s="37" t="s">
        <v>622</v>
      </c>
      <c r="F31" s="23"/>
      <c r="G31" s="37"/>
      <c r="H31" s="362"/>
      <c r="I31" s="192">
        <f t="shared" ref="I31:I36" si="8">I30+0.25%</f>
        <v>1.5000000000000001E-2</v>
      </c>
      <c r="J31" s="62">
        <v>180.30266666355999</v>
      </c>
      <c r="K31" s="62">
        <v>164.70420234910276</v>
      </c>
      <c r="L31" s="360">
        <v>151.33409102438381</v>
      </c>
      <c r="M31" s="360">
        <v>139.74666065652895</v>
      </c>
      <c r="N31" s="360">
        <v>129.60765725311828</v>
      </c>
      <c r="O31" s="360">
        <v>120.66147484962291</v>
      </c>
      <c r="P31" s="360">
        <v>112.70930883437755</v>
      </c>
      <c r="Q31" s="193">
        <v>105.5942082235742</v>
      </c>
      <c r="R31" s="193">
        <v>99.190612253770411</v>
      </c>
    </row>
    <row r="32" spans="1:19" x14ac:dyDescent="0.2">
      <c r="B32" s="24" t="s">
        <v>71</v>
      </c>
      <c r="C32" s="24"/>
      <c r="D32" s="353">
        <f>D31+G26</f>
        <v>260550.04613976242</v>
      </c>
      <c r="E32" s="58" t="s">
        <v>624</v>
      </c>
      <c r="F32" s="37"/>
      <c r="G32" s="37"/>
      <c r="H32" s="362"/>
      <c r="I32" s="192">
        <f t="shared" si="8"/>
        <v>1.7500000000000002E-2</v>
      </c>
      <c r="J32" s="62">
        <v>197.04101923293575</v>
      </c>
      <c r="K32" s="62">
        <v>178.75571521116265</v>
      </c>
      <c r="L32" s="360">
        <v>163.28347548507182</v>
      </c>
      <c r="M32" s="360">
        <v>150.02149964903151</v>
      </c>
      <c r="N32" s="360">
        <v>138.52773409863065</v>
      </c>
      <c r="O32" s="360">
        <v>128.47063865471313</v>
      </c>
      <c r="P32" s="360">
        <v>119.5966826142366</v>
      </c>
      <c r="Q32" s="193">
        <v>111.70867545085602</v>
      </c>
      <c r="R32" s="193">
        <v>104.65094045217697</v>
      </c>
    </row>
    <row r="33" spans="2:18" x14ac:dyDescent="0.2">
      <c r="B33" s="5" t="s">
        <v>294</v>
      </c>
      <c r="D33" s="37">
        <f>'PepsiCo-BS'!E17+'PepsiCo-BS'!E6</f>
        <v>2911</v>
      </c>
      <c r="E33" s="37"/>
      <c r="F33" s="37"/>
      <c r="G33" s="37"/>
      <c r="H33" s="362"/>
      <c r="I33" s="192">
        <f t="shared" si="8"/>
        <v>0.02</v>
      </c>
      <c r="J33" s="62">
        <v>217.12704231618656</v>
      </c>
      <c r="K33" s="62">
        <v>195.36204859359688</v>
      </c>
      <c r="L33" s="360">
        <v>177.22442402254114</v>
      </c>
      <c r="M33" s="360">
        <v>161.87708310191897</v>
      </c>
      <c r="N33" s="360">
        <v>148.72210763635903</v>
      </c>
      <c r="O33" s="360">
        <v>137.32102430048204</v>
      </c>
      <c r="P33" s="360">
        <v>127.34497811657798</v>
      </c>
      <c r="Q33" s="193">
        <v>118.54249176370031</v>
      </c>
      <c r="R33" s="193">
        <v>110.7179717837398</v>
      </c>
    </row>
    <row r="34" spans="2:18" s="24" customFormat="1" x14ac:dyDescent="0.2">
      <c r="B34" s="24" t="s">
        <v>9</v>
      </c>
      <c r="D34" s="351">
        <f>SUM(D32:D33)</f>
        <v>263461.04613976239</v>
      </c>
      <c r="E34" s="58"/>
      <c r="F34" s="58"/>
      <c r="G34" s="58"/>
      <c r="H34" s="362"/>
      <c r="I34" s="192">
        <f t="shared" si="8"/>
        <v>2.2499999999999999E-2</v>
      </c>
      <c r="J34" s="62">
        <v>241.67662608460424</v>
      </c>
      <c r="K34" s="62">
        <v>215.28964865251814</v>
      </c>
      <c r="L34" s="360">
        <v>193.70009047591395</v>
      </c>
      <c r="M34" s="360">
        <v>175.7085971302877</v>
      </c>
      <c r="N34" s="360">
        <v>160.48484633373789</v>
      </c>
      <c r="O34" s="360">
        <v>147.43575075278935</v>
      </c>
      <c r="P34" s="360">
        <v>136.12637968589817</v>
      </c>
      <c r="Q34" s="193">
        <v>126.23053511565018</v>
      </c>
      <c r="R34" s="193">
        <v>117.49877150725118</v>
      </c>
    </row>
    <row r="35" spans="2:18" x14ac:dyDescent="0.2">
      <c r="B35" s="5" t="s">
        <v>10</v>
      </c>
      <c r="D35" s="37">
        <f>'PepsiCo-BS'!E23+'PepsiCo-BS'!E27</f>
        <v>44978</v>
      </c>
      <c r="E35" s="37"/>
      <c r="F35" s="37"/>
      <c r="G35" s="37"/>
      <c r="H35" s="362"/>
      <c r="I35" s="192">
        <f t="shared" si="8"/>
        <v>2.4999999999999998E-2</v>
      </c>
      <c r="J35" s="62">
        <v>272.36360579512632</v>
      </c>
      <c r="K35" s="62">
        <v>239.64560428008838</v>
      </c>
      <c r="L35" s="360">
        <v>213.47089021996126</v>
      </c>
      <c r="M35" s="360">
        <v>192.05493189108708</v>
      </c>
      <c r="N35" s="360">
        <v>174.20804148067992</v>
      </c>
      <c r="O35" s="360">
        <v>159.10658896699005</v>
      </c>
      <c r="P35" s="360">
        <v>146.16226719369268</v>
      </c>
      <c r="Q35" s="193">
        <v>134.94365091452667</v>
      </c>
      <c r="R35" s="193">
        <v>125.12717119620146</v>
      </c>
    </row>
    <row r="36" spans="2:18" x14ac:dyDescent="0.2">
      <c r="B36" s="5" t="s">
        <v>11</v>
      </c>
      <c r="D36" s="37">
        <f>'PepsiCo-BS'!E5</f>
        <v>8927</v>
      </c>
      <c r="E36" s="37"/>
      <c r="F36" s="37"/>
      <c r="G36" s="37"/>
      <c r="H36" s="362"/>
      <c r="I36" s="192">
        <f t="shared" si="8"/>
        <v>2.7499999999999997E-2</v>
      </c>
      <c r="J36" s="62">
        <v>311.81829399436896</v>
      </c>
      <c r="K36" s="62">
        <v>270.09054881455131</v>
      </c>
      <c r="L36" s="62">
        <v>237.63520101824139</v>
      </c>
      <c r="M36" s="62">
        <v>211.6705336040464</v>
      </c>
      <c r="N36" s="62">
        <v>190.42636301797501</v>
      </c>
      <c r="O36" s="62">
        <v>172.72256688355759</v>
      </c>
      <c r="P36" s="62">
        <v>157.74213739499413</v>
      </c>
      <c r="Q36" s="193">
        <v>144.90149754181414</v>
      </c>
      <c r="R36" s="193">
        <v>133.7726908436785</v>
      </c>
    </row>
    <row r="37" spans="2:18" x14ac:dyDescent="0.2">
      <c r="B37" s="5" t="s">
        <v>12</v>
      </c>
      <c r="D37" s="37">
        <f>'PepsiCo-BS'!E41</f>
        <v>96</v>
      </c>
      <c r="E37" s="37"/>
      <c r="F37" s="37"/>
      <c r="G37" s="37"/>
      <c r="H37" s="362"/>
      <c r="I37" s="192">
        <f>I36+0.25%</f>
        <v>2.9999999999999995E-2</v>
      </c>
      <c r="J37" s="62">
        <v>364.42454492669259</v>
      </c>
      <c r="K37" s="62">
        <v>309.23404893028936</v>
      </c>
      <c r="L37" s="62">
        <v>267.8405895160916</v>
      </c>
      <c r="M37" s="62">
        <v>235.64515791988555</v>
      </c>
      <c r="N37" s="62">
        <v>209.8883488627292</v>
      </c>
      <c r="O37" s="62">
        <v>188.81417714859197</v>
      </c>
      <c r="P37" s="62">
        <v>171.25198596317907</v>
      </c>
      <c r="Q37" s="193">
        <v>156.39132057329965</v>
      </c>
      <c r="R37" s="193">
        <v>143.65328472650941</v>
      </c>
    </row>
    <row r="38" spans="2:18" s="24" customFormat="1" x14ac:dyDescent="0.2">
      <c r="B38" s="24" t="s">
        <v>13</v>
      </c>
      <c r="D38" s="351">
        <f>D34-D35+D36-D37</f>
        <v>227314.04613976239</v>
      </c>
      <c r="E38" s="58"/>
      <c r="F38" s="58"/>
      <c r="G38" s="58"/>
      <c r="H38" s="58"/>
      <c r="I38" s="189"/>
    </row>
    <row r="39" spans="2:18" ht="13.5" thickBot="1" x14ac:dyDescent="0.25">
      <c r="B39" s="5" t="s">
        <v>295</v>
      </c>
      <c r="D39" s="37">
        <f>1384632842/1000000</f>
        <v>1384.632842</v>
      </c>
      <c r="E39" s="37" t="s">
        <v>635</v>
      </c>
      <c r="F39" s="37"/>
      <c r="G39" s="37"/>
      <c r="H39" s="37"/>
    </row>
    <row r="40" spans="2:18" s="24" customFormat="1" ht="13.5" thickBot="1" x14ac:dyDescent="0.25">
      <c r="B40" s="59" t="s">
        <v>14</v>
      </c>
      <c r="C40" s="60"/>
      <c r="D40" s="61">
        <f>D38/D39</f>
        <v>164.16918568204986</v>
      </c>
      <c r="E40" s="58"/>
      <c r="F40" s="58"/>
      <c r="G40" s="58"/>
      <c r="H40" s="58"/>
    </row>
    <row r="41" spans="2:18" x14ac:dyDescent="0.2">
      <c r="D41" s="37"/>
      <c r="E41" s="37"/>
      <c r="F41" s="37"/>
      <c r="G41" s="37"/>
      <c r="H41" s="68"/>
      <c r="J41" s="361" t="s">
        <v>36</v>
      </c>
      <c r="K41" s="361"/>
      <c r="L41" s="361"/>
      <c r="M41" s="361"/>
      <c r="N41" s="361"/>
      <c r="O41" s="361"/>
      <c r="P41" s="361"/>
      <c r="Q41" s="361"/>
      <c r="R41" s="361"/>
    </row>
    <row r="42" spans="2:18" s="24" customFormat="1" x14ac:dyDescent="0.2">
      <c r="B42" s="354" t="s">
        <v>15</v>
      </c>
      <c r="C42" s="354"/>
      <c r="D42" s="355" t="s">
        <v>16</v>
      </c>
      <c r="F42" s="58"/>
      <c r="G42" s="58"/>
      <c r="H42" s="37"/>
      <c r="I42" s="194">
        <f>D55</f>
        <v>131.02483111406198</v>
      </c>
      <c r="J42" s="174">
        <f>J28</f>
        <v>4.4999999999999998E-2</v>
      </c>
      <c r="K42" s="174">
        <f t="shared" ref="K42:R42" si="9">K28</f>
        <v>4.7500000000000001E-2</v>
      </c>
      <c r="L42" s="174">
        <f t="shared" si="9"/>
        <v>0.05</v>
      </c>
      <c r="M42" s="174">
        <f t="shared" si="9"/>
        <v>5.2500000000000005E-2</v>
      </c>
      <c r="N42" s="174">
        <f t="shared" si="9"/>
        <v>5.5000000000000007E-2</v>
      </c>
      <c r="O42" s="174">
        <f t="shared" si="9"/>
        <v>5.7500000000000009E-2</v>
      </c>
      <c r="P42" s="174">
        <f t="shared" si="9"/>
        <v>6.0000000000000012E-2</v>
      </c>
      <c r="Q42" s="174">
        <f t="shared" si="9"/>
        <v>6.2500000000000014E-2</v>
      </c>
      <c r="R42" s="174">
        <f t="shared" si="9"/>
        <v>6.5000000000000016E-2</v>
      </c>
    </row>
    <row r="43" spans="2:18" x14ac:dyDescent="0.2">
      <c r="B43" s="5" t="s">
        <v>296</v>
      </c>
      <c r="D43" s="62">
        <v>14</v>
      </c>
      <c r="E43" s="357" t="s">
        <v>638</v>
      </c>
      <c r="F43" s="37"/>
      <c r="G43" s="37"/>
      <c r="H43" s="362" t="s">
        <v>299</v>
      </c>
      <c r="I43" s="195">
        <v>11</v>
      </c>
      <c r="J43" s="62">
        <f t="dataTable" ref="J43:R51" dt2D="1" dtr="1" r1="A18" r2="D43"/>
        <v>106.66223358069755</v>
      </c>
      <c r="K43" s="62">
        <v>105.43450177144203</v>
      </c>
      <c r="L43" s="62">
        <v>104.22183365777595</v>
      </c>
      <c r="M43" s="62">
        <v>103.02400721316631</v>
      </c>
      <c r="N43" s="62">
        <v>101.84080421327035</v>
      </c>
      <c r="O43" s="62">
        <v>100.67201016189618</v>
      </c>
      <c r="P43" s="62">
        <v>99.517414218577358</v>
      </c>
      <c r="Q43" s="193">
        <v>98.376809127721955</v>
      </c>
      <c r="R43" s="193">
        <v>97.249991149299092</v>
      </c>
    </row>
    <row r="44" spans="2:18" x14ac:dyDescent="0.2">
      <c r="B44" s="5" t="s">
        <v>297</v>
      </c>
      <c r="D44" s="37">
        <f>G10+G14</f>
        <v>16010.514052900493</v>
      </c>
      <c r="E44" s="356" t="s">
        <v>639</v>
      </c>
      <c r="H44" s="362"/>
      <c r="I44" s="195">
        <f>I43+1</f>
        <v>12</v>
      </c>
      <c r="J44" s="62">
        <v>116.22547445633811</v>
      </c>
      <c r="K44" s="62">
        <v>114.89967124896764</v>
      </c>
      <c r="L44" s="196">
        <v>113.59016765983998</v>
      </c>
      <c r="M44" s="196">
        <v>112.29672319971964</v>
      </c>
      <c r="N44" s="196">
        <v>111.01910150029194</v>
      </c>
      <c r="O44" s="196">
        <v>109.75707023388362</v>
      </c>
      <c r="P44" s="196">
        <v>108.51040103493406</v>
      </c>
      <c r="Q44" s="193">
        <v>107.27886942317392</v>
      </c>
      <c r="R44" s="193">
        <v>106.06225472847179</v>
      </c>
    </row>
    <row r="45" spans="2:18" x14ac:dyDescent="0.2">
      <c r="B45" s="5" t="s">
        <v>15</v>
      </c>
      <c r="D45" s="37">
        <f>D44*D43</f>
        <v>224147.19674060692</v>
      </c>
      <c r="H45" s="362"/>
      <c r="I45" s="195">
        <f t="shared" ref="I45:I51" si="10">I44+1</f>
        <v>13</v>
      </c>
      <c r="J45" s="62">
        <v>125.78871533197866</v>
      </c>
      <c r="K45" s="359">
        <v>124.36484072649324</v>
      </c>
      <c r="L45" s="360">
        <v>122.95850166190401</v>
      </c>
      <c r="M45" s="360">
        <v>121.56943918627297</v>
      </c>
      <c r="N45" s="360">
        <v>120.19739878731353</v>
      </c>
      <c r="O45" s="360">
        <v>118.84213030587108</v>
      </c>
      <c r="P45" s="360">
        <v>117.50338785129073</v>
      </c>
      <c r="Q45" s="193">
        <v>116.18092971862588</v>
      </c>
      <c r="R45" s="193">
        <v>114.87451830764449</v>
      </c>
    </row>
    <row r="46" spans="2:18" x14ac:dyDescent="0.2">
      <c r="B46" s="5" t="s">
        <v>17</v>
      </c>
      <c r="D46" s="58">
        <f>D45/CHOOSE(E5,G23,G22)</f>
        <v>179978.33276693005</v>
      </c>
      <c r="E46" s="356" t="s">
        <v>640</v>
      </c>
      <c r="H46" s="362"/>
      <c r="I46" s="195">
        <f t="shared" si="10"/>
        <v>14</v>
      </c>
      <c r="J46" s="62">
        <v>135.35195620761922</v>
      </c>
      <c r="K46" s="359">
        <v>133.83001020401886</v>
      </c>
      <c r="L46" s="360">
        <v>132.32683566396807</v>
      </c>
      <c r="M46" s="360">
        <v>130.8421551728263</v>
      </c>
      <c r="N46" s="360">
        <v>129.37569607433514</v>
      </c>
      <c r="O46" s="360">
        <v>127.92719037785854</v>
      </c>
      <c r="P46" s="360">
        <v>126.49637466764743</v>
      </c>
      <c r="Q46" s="193">
        <v>125.08299001407786</v>
      </c>
      <c r="R46" s="193">
        <v>123.6867818868172</v>
      </c>
    </row>
    <row r="47" spans="2:18" x14ac:dyDescent="0.2">
      <c r="B47" s="24" t="s">
        <v>71</v>
      </c>
      <c r="C47" s="24"/>
      <c r="D47" s="358">
        <f>D46+G26</f>
        <v>214657.28427803368</v>
      </c>
      <c r="E47" s="357" t="s">
        <v>641</v>
      </c>
      <c r="H47" s="362"/>
      <c r="I47" s="195">
        <f t="shared" si="10"/>
        <v>15</v>
      </c>
      <c r="J47" s="62">
        <v>144.91519708325978</v>
      </c>
      <c r="K47" s="359">
        <v>143.29517968154448</v>
      </c>
      <c r="L47" s="360">
        <v>141.69516966603209</v>
      </c>
      <c r="M47" s="360">
        <v>140.11487115937965</v>
      </c>
      <c r="N47" s="360">
        <v>138.55399336135673</v>
      </c>
      <c r="O47" s="360">
        <v>137.01225044984599</v>
      </c>
      <c r="P47" s="360">
        <v>135.48936148400409</v>
      </c>
      <c r="Q47" s="193">
        <v>133.98505030952981</v>
      </c>
      <c r="R47" s="193">
        <v>132.49904546598989</v>
      </c>
    </row>
    <row r="48" spans="2:18" x14ac:dyDescent="0.2">
      <c r="B48" s="5" t="s">
        <v>294</v>
      </c>
      <c r="D48" s="37">
        <f>D33</f>
        <v>2911</v>
      </c>
      <c r="H48" s="362"/>
      <c r="I48" s="195">
        <f t="shared" si="10"/>
        <v>16</v>
      </c>
      <c r="J48" s="62">
        <v>154.47843795890034</v>
      </c>
      <c r="K48" s="359">
        <v>152.76034915907007</v>
      </c>
      <c r="L48" s="360">
        <v>151.0635036680961</v>
      </c>
      <c r="M48" s="360">
        <v>149.387587145933</v>
      </c>
      <c r="N48" s="360">
        <v>147.73229064837832</v>
      </c>
      <c r="O48" s="360">
        <v>146.09731052183341</v>
      </c>
      <c r="P48" s="360">
        <v>144.48234830036077</v>
      </c>
      <c r="Q48" s="193">
        <v>142.88711060498179</v>
      </c>
      <c r="R48" s="193">
        <v>141.3113090451626</v>
      </c>
    </row>
    <row r="49" spans="2:18" x14ac:dyDescent="0.2">
      <c r="B49" s="24" t="s">
        <v>9</v>
      </c>
      <c r="C49" s="24"/>
      <c r="D49" s="58">
        <f>SUM(D47:D48)</f>
        <v>217568.28427803368</v>
      </c>
      <c r="H49" s="362"/>
      <c r="I49" s="195">
        <f t="shared" si="10"/>
        <v>17</v>
      </c>
      <c r="J49" s="62">
        <v>164.04167883454087</v>
      </c>
      <c r="K49" s="359">
        <v>162.22551863659569</v>
      </c>
      <c r="L49" s="360">
        <v>160.43183767016015</v>
      </c>
      <c r="M49" s="360">
        <v>158.66030313248629</v>
      </c>
      <c r="N49" s="360">
        <v>156.91058793539992</v>
      </c>
      <c r="O49" s="360">
        <v>155.18237059382088</v>
      </c>
      <c r="P49" s="360">
        <v>153.47533511671745</v>
      </c>
      <c r="Q49" s="193">
        <v>151.78917090043376</v>
      </c>
      <c r="R49" s="193">
        <v>150.12357262433528</v>
      </c>
    </row>
    <row r="50" spans="2:18" x14ac:dyDescent="0.2">
      <c r="B50" s="5" t="s">
        <v>10</v>
      </c>
      <c r="D50" s="37">
        <f>D35</f>
        <v>44978</v>
      </c>
      <c r="H50" s="362"/>
      <c r="I50" s="195">
        <f t="shared" si="10"/>
        <v>18</v>
      </c>
      <c r="J50" s="62">
        <v>173.60491971018143</v>
      </c>
      <c r="K50" s="62">
        <v>171.69068811412129</v>
      </c>
      <c r="L50" s="62">
        <v>169.8001716722242</v>
      </c>
      <c r="M50" s="62">
        <v>167.93301911903964</v>
      </c>
      <c r="N50" s="62">
        <v>166.08888522242151</v>
      </c>
      <c r="O50" s="62">
        <v>164.26743066580835</v>
      </c>
      <c r="P50" s="62">
        <v>162.46832193307412</v>
      </c>
      <c r="Q50" s="193">
        <v>160.69123119588571</v>
      </c>
      <c r="R50" s="193">
        <v>158.93583620350799</v>
      </c>
    </row>
    <row r="51" spans="2:18" x14ac:dyDescent="0.2">
      <c r="B51" s="5" t="s">
        <v>11</v>
      </c>
      <c r="D51" s="37">
        <f t="shared" ref="D51:D52" si="11">D36</f>
        <v>8927</v>
      </c>
      <c r="H51" s="362"/>
      <c r="I51" s="195">
        <f t="shared" si="10"/>
        <v>19</v>
      </c>
      <c r="J51" s="62">
        <v>183.16816058582199</v>
      </c>
      <c r="K51" s="62">
        <v>181.15585759164691</v>
      </c>
      <c r="L51" s="62">
        <v>179.16850567428821</v>
      </c>
      <c r="M51" s="62">
        <v>177.20573510559296</v>
      </c>
      <c r="N51" s="62">
        <v>175.2671825094431</v>
      </c>
      <c r="O51" s="62">
        <v>173.35249073779573</v>
      </c>
      <c r="P51" s="62">
        <v>171.46130874943083</v>
      </c>
      <c r="Q51" s="193">
        <v>169.59329149133768</v>
      </c>
      <c r="R51" s="193">
        <v>167.7480997826807</v>
      </c>
    </row>
    <row r="52" spans="2:18" x14ac:dyDescent="0.2">
      <c r="B52" s="5" t="s">
        <v>12</v>
      </c>
      <c r="D52" s="37">
        <f t="shared" si="11"/>
        <v>96</v>
      </c>
    </row>
    <row r="53" spans="2:18" x14ac:dyDescent="0.2">
      <c r="B53" s="24" t="s">
        <v>13</v>
      </c>
      <c r="C53" s="24"/>
      <c r="D53" s="351">
        <f>D49-D50+D51-D52</f>
        <v>181421.28427803368</v>
      </c>
    </row>
    <row r="54" spans="2:18" ht="13.5" thickBot="1" x14ac:dyDescent="0.25">
      <c r="B54" s="5" t="s">
        <v>295</v>
      </c>
      <c r="D54" s="37">
        <f>D39</f>
        <v>1384.632842</v>
      </c>
    </row>
    <row r="55" spans="2:18" ht="13.5" thickBot="1" x14ac:dyDescent="0.25">
      <c r="B55" s="59" t="s">
        <v>14</v>
      </c>
      <c r="C55" s="60"/>
      <c r="D55" s="61">
        <f>D53/D54</f>
        <v>131.02483111406198</v>
      </c>
    </row>
  </sheetData>
  <mergeCells count="6">
    <mergeCell ref="J27:R27"/>
    <mergeCell ref="H29:H37"/>
    <mergeCell ref="J41:R41"/>
    <mergeCell ref="H43:H51"/>
    <mergeCell ref="I14:I16"/>
    <mergeCell ref="I22:I23"/>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81" r:id="rId4" name="Drop Down 1">
              <controlPr defaultSize="0" autoLine="0" autoPict="0">
                <anchor moveWithCells="1">
                  <from>
                    <xdr:col>2</xdr:col>
                    <xdr:colOff>9525</xdr:colOff>
                    <xdr:row>3</xdr:row>
                    <xdr:rowOff>152400</xdr:rowOff>
                  </from>
                  <to>
                    <xdr:col>4</xdr:col>
                    <xdr:colOff>133350</xdr:colOff>
                    <xdr:row>5</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6DB0-02E3-447C-B7CE-CEEF783016C2}">
  <dimension ref="B2:D29"/>
  <sheetViews>
    <sheetView showGridLines="0" tabSelected="1" topLeftCell="A19" workbookViewId="0">
      <selection activeCell="K21" sqref="K21"/>
    </sheetView>
  </sheetViews>
  <sheetFormatPr defaultRowHeight="12.75" x14ac:dyDescent="0.2"/>
  <cols>
    <col min="2" max="2" width="28.5703125" customWidth="1"/>
    <col min="3" max="3" width="81.85546875" customWidth="1"/>
    <col min="4" max="4" width="33.28515625" customWidth="1"/>
  </cols>
  <sheetData>
    <row r="2" spans="2:4" ht="26.1" customHeight="1" x14ac:dyDescent="0.3">
      <c r="B2" s="399" t="s">
        <v>642</v>
      </c>
    </row>
    <row r="3" spans="2:4" x14ac:dyDescent="0.2">
      <c r="B3" s="400" t="s">
        <v>643</v>
      </c>
    </row>
    <row r="5" spans="2:4" ht="24" customHeight="1" x14ac:dyDescent="0.25">
      <c r="B5" s="408" t="s">
        <v>644</v>
      </c>
      <c r="C5" s="406"/>
      <c r="D5" s="412"/>
    </row>
    <row r="6" spans="2:4" x14ac:dyDescent="0.2">
      <c r="B6" s="409" t="s">
        <v>645</v>
      </c>
      <c r="C6" s="403" t="s">
        <v>646</v>
      </c>
      <c r="D6" s="413" t="s">
        <v>647</v>
      </c>
    </row>
    <row r="7" spans="2:4" ht="30" customHeight="1" x14ac:dyDescent="0.2">
      <c r="B7" s="410" t="s">
        <v>648</v>
      </c>
      <c r="C7" s="404" t="s">
        <v>649</v>
      </c>
      <c r="D7" s="414" t="s">
        <v>650</v>
      </c>
    </row>
    <row r="8" spans="2:4" ht="30" customHeight="1" x14ac:dyDescent="0.2">
      <c r="B8" s="410" t="s">
        <v>651</v>
      </c>
      <c r="C8" s="404" t="s">
        <v>652</v>
      </c>
      <c r="D8" s="414" t="s">
        <v>653</v>
      </c>
    </row>
    <row r="9" spans="2:4" ht="48" customHeight="1" x14ac:dyDescent="0.2">
      <c r="B9" s="410" t="s">
        <v>654</v>
      </c>
      <c r="C9" s="404" t="s">
        <v>655</v>
      </c>
      <c r="D9" s="414" t="s">
        <v>656</v>
      </c>
    </row>
    <row r="10" spans="2:4" ht="42" customHeight="1" x14ac:dyDescent="0.2">
      <c r="B10" s="410" t="s">
        <v>657</v>
      </c>
      <c r="C10" s="404" t="s">
        <v>658</v>
      </c>
      <c r="D10" s="414" t="s">
        <v>659</v>
      </c>
    </row>
    <row r="11" spans="2:4" ht="30" customHeight="1" x14ac:dyDescent="0.2">
      <c r="B11" s="410" t="s">
        <v>660</v>
      </c>
      <c r="C11" s="404" t="s">
        <v>661</v>
      </c>
      <c r="D11" s="414" t="s">
        <v>662</v>
      </c>
    </row>
    <row r="12" spans="2:4" ht="30" customHeight="1" x14ac:dyDescent="0.2">
      <c r="B12" s="411" t="s">
        <v>663</v>
      </c>
      <c r="C12" s="407" t="s">
        <v>664</v>
      </c>
      <c r="D12" s="415" t="s">
        <v>665</v>
      </c>
    </row>
    <row r="13" spans="2:4" x14ac:dyDescent="0.2">
      <c r="B13" s="416"/>
      <c r="C13" s="417"/>
      <c r="D13" s="418"/>
    </row>
    <row r="14" spans="2:4" ht="24" customHeight="1" x14ac:dyDescent="0.2">
      <c r="B14" s="421" t="s">
        <v>666</v>
      </c>
      <c r="C14" s="420"/>
      <c r="D14" s="423"/>
    </row>
    <row r="15" spans="2:4" x14ac:dyDescent="0.2">
      <c r="B15" s="422" t="s">
        <v>645</v>
      </c>
      <c r="C15" s="405" t="s">
        <v>646</v>
      </c>
      <c r="D15" s="424" t="s">
        <v>667</v>
      </c>
    </row>
    <row r="16" spans="2:4" ht="42" customHeight="1" x14ac:dyDescent="0.2">
      <c r="B16" s="410" t="s">
        <v>668</v>
      </c>
      <c r="C16" s="404" t="s">
        <v>669</v>
      </c>
      <c r="D16" s="414" t="s">
        <v>670</v>
      </c>
    </row>
    <row r="17" spans="2:4" ht="42" customHeight="1" x14ac:dyDescent="0.2">
      <c r="B17" s="410" t="s">
        <v>671</v>
      </c>
      <c r="C17" s="404" t="s">
        <v>672</v>
      </c>
      <c r="D17" s="425">
        <f>WACC!N8</f>
        <v>5.2190726249838483E-2</v>
      </c>
    </row>
    <row r="18" spans="2:4" ht="42" customHeight="1" x14ac:dyDescent="0.2">
      <c r="B18" s="410" t="s">
        <v>673</v>
      </c>
      <c r="C18" s="404" t="s">
        <v>674</v>
      </c>
      <c r="D18" s="426">
        <f>DCF!G26</f>
        <v>34678.951511103631</v>
      </c>
    </row>
    <row r="19" spans="2:4" ht="42" customHeight="1" x14ac:dyDescent="0.2">
      <c r="B19" s="410" t="s">
        <v>675</v>
      </c>
      <c r="C19" s="404" t="s">
        <v>676</v>
      </c>
      <c r="D19" s="425">
        <f>DCF!D29</f>
        <v>2.01E-2</v>
      </c>
    </row>
    <row r="20" spans="2:4" ht="30" customHeight="1" x14ac:dyDescent="0.2">
      <c r="B20" s="410" t="s">
        <v>677</v>
      </c>
      <c r="C20" s="404" t="s">
        <v>678</v>
      </c>
      <c r="D20" s="426">
        <f>DCF!D32</f>
        <v>260550.04613976242</v>
      </c>
    </row>
    <row r="21" spans="2:4" ht="30" customHeight="1" x14ac:dyDescent="0.2">
      <c r="B21" s="410" t="s">
        <v>679</v>
      </c>
      <c r="C21" s="404" t="s">
        <v>680</v>
      </c>
      <c r="D21" s="426">
        <f>DCF!D38</f>
        <v>227314.04613976239</v>
      </c>
    </row>
    <row r="22" spans="2:4" ht="30" customHeight="1" x14ac:dyDescent="0.2">
      <c r="B22" s="410" t="s">
        <v>681</v>
      </c>
      <c r="C22" s="404" t="s">
        <v>682</v>
      </c>
      <c r="D22" s="427">
        <f>DCF!D40</f>
        <v>164.16918568204986</v>
      </c>
    </row>
    <row r="23" spans="2:4" ht="30" customHeight="1" x14ac:dyDescent="0.2">
      <c r="B23" s="411" t="s">
        <v>683</v>
      </c>
      <c r="C23" s="407" t="s">
        <v>684</v>
      </c>
      <c r="D23" s="415" t="s">
        <v>685</v>
      </c>
    </row>
    <row r="24" spans="2:4" x14ac:dyDescent="0.2">
      <c r="B24" s="429"/>
      <c r="C24" s="430"/>
      <c r="D24" s="419"/>
    </row>
    <row r="25" spans="2:4" ht="24" customHeight="1" x14ac:dyDescent="0.25">
      <c r="B25" s="431" t="s">
        <v>686</v>
      </c>
      <c r="C25" s="434"/>
      <c r="D25" s="428"/>
    </row>
    <row r="26" spans="2:4" ht="20.25" x14ac:dyDescent="0.3">
      <c r="B26" s="432" t="s">
        <v>14</v>
      </c>
      <c r="C26" s="437">
        <f>DCF!D40</f>
        <v>164.16918568204986</v>
      </c>
      <c r="D26" s="401"/>
    </row>
    <row r="27" spans="2:4" x14ac:dyDescent="0.2">
      <c r="B27" s="432" t="s">
        <v>687</v>
      </c>
      <c r="C27" s="435">
        <f>DCF!D38</f>
        <v>227314.04613976239</v>
      </c>
      <c r="D27" s="401"/>
    </row>
    <row r="28" spans="2:4" x14ac:dyDescent="0.2">
      <c r="B28" s="432" t="s">
        <v>688</v>
      </c>
      <c r="C28" s="435">
        <f>DCF!D32</f>
        <v>260550.04613976242</v>
      </c>
      <c r="D28" s="401"/>
    </row>
    <row r="29" spans="2:4" x14ac:dyDescent="0.2">
      <c r="B29" s="433" t="s">
        <v>689</v>
      </c>
      <c r="C29" s="436" t="str">
        <f>TEXT(WACC!N8,"0.0%")&amp;" / "&amp;TEXT(DCF!D29,"0.0%")</f>
        <v>5.2% / 2.0%</v>
      </c>
      <c r="D29" s="402"/>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66"/>
  <sheetViews>
    <sheetView showGridLines="0" topLeftCell="B1" zoomScale="106" zoomScaleNormal="106" workbookViewId="0">
      <selection activeCell="K30" sqref="K30"/>
    </sheetView>
  </sheetViews>
  <sheetFormatPr defaultColWidth="8.85546875" defaultRowHeight="12.75" x14ac:dyDescent="0.2"/>
  <cols>
    <col min="1" max="1" width="8.85546875" style="5"/>
    <col min="2" max="2" width="30.5703125" style="5" customWidth="1"/>
    <col min="3" max="3" width="14.85546875" style="5" bestFit="1" customWidth="1"/>
    <col min="4" max="4" width="20.28515625" style="5" customWidth="1"/>
    <col min="5" max="5" width="14.85546875" style="5" customWidth="1"/>
    <col min="6" max="6" width="18.85546875" style="5" customWidth="1"/>
    <col min="7" max="8" width="14.85546875" style="5" bestFit="1" customWidth="1"/>
    <col min="9" max="9" width="5.7109375" style="5" bestFit="1" customWidth="1"/>
    <col min="10" max="10" width="11.5703125" style="5" customWidth="1"/>
    <col min="11" max="11" width="11" style="5" bestFit="1" customWidth="1"/>
    <col min="12" max="12" width="17.42578125" style="5" bestFit="1" customWidth="1"/>
    <col min="13" max="13" width="8.85546875" style="5"/>
    <col min="14" max="14" width="19.140625" style="5" bestFit="1" customWidth="1"/>
    <col min="15" max="257" width="8.85546875" style="5"/>
    <col min="258" max="258" width="30.5703125" style="5" customWidth="1"/>
    <col min="259" max="259" width="14.85546875" style="5" bestFit="1" customWidth="1"/>
    <col min="260" max="260" width="20.42578125" style="5" bestFit="1" customWidth="1"/>
    <col min="261" max="261" width="11.85546875" style="5" bestFit="1" customWidth="1"/>
    <col min="262" max="262" width="18.85546875" style="5" customWidth="1"/>
    <col min="263" max="264" width="14.85546875" style="5" bestFit="1" customWidth="1"/>
    <col min="265" max="265" width="17.5703125" style="5" bestFit="1" customWidth="1"/>
    <col min="266" max="266" width="11.5703125" style="5" customWidth="1"/>
    <col min="267" max="267" width="8.85546875" style="5"/>
    <col min="268" max="268" width="17.42578125" style="5" bestFit="1" customWidth="1"/>
    <col min="269" max="269" width="8.85546875" style="5"/>
    <col min="270" max="270" width="7.140625" style="5" bestFit="1" customWidth="1"/>
    <col min="271" max="513" width="8.85546875" style="5"/>
    <col min="514" max="514" width="30.5703125" style="5" customWidth="1"/>
    <col min="515" max="515" width="14.85546875" style="5" bestFit="1" customWidth="1"/>
    <col min="516" max="516" width="20.42578125" style="5" bestFit="1" customWidth="1"/>
    <col min="517" max="517" width="11.85546875" style="5" bestFit="1" customWidth="1"/>
    <col min="518" max="518" width="18.85546875" style="5" customWidth="1"/>
    <col min="519" max="520" width="14.85546875" style="5" bestFit="1" customWidth="1"/>
    <col min="521" max="521" width="17.5703125" style="5" bestFit="1" customWidth="1"/>
    <col min="522" max="522" width="11.5703125" style="5" customWidth="1"/>
    <col min="523" max="523" width="8.85546875" style="5"/>
    <col min="524" max="524" width="17.42578125" style="5" bestFit="1" customWidth="1"/>
    <col min="525" max="525" width="8.85546875" style="5"/>
    <col min="526" max="526" width="7.140625" style="5" bestFit="1" customWidth="1"/>
    <col min="527" max="769" width="8.85546875" style="5"/>
    <col min="770" max="770" width="30.5703125" style="5" customWidth="1"/>
    <col min="771" max="771" width="14.85546875" style="5" bestFit="1" customWidth="1"/>
    <col min="772" max="772" width="20.42578125" style="5" bestFit="1" customWidth="1"/>
    <col min="773" max="773" width="11.85546875" style="5" bestFit="1" customWidth="1"/>
    <col min="774" max="774" width="18.85546875" style="5" customWidth="1"/>
    <col min="775" max="776" width="14.85546875" style="5" bestFit="1" customWidth="1"/>
    <col min="777" max="777" width="17.5703125" style="5" bestFit="1" customWidth="1"/>
    <col min="778" max="778" width="11.5703125" style="5" customWidth="1"/>
    <col min="779" max="779" width="8.85546875" style="5"/>
    <col min="780" max="780" width="17.42578125" style="5" bestFit="1" customWidth="1"/>
    <col min="781" max="781" width="8.85546875" style="5"/>
    <col min="782" max="782" width="7.140625" style="5" bestFit="1" customWidth="1"/>
    <col min="783" max="1025" width="8.85546875" style="5"/>
    <col min="1026" max="1026" width="30.5703125" style="5" customWidth="1"/>
    <col min="1027" max="1027" width="14.85546875" style="5" bestFit="1" customWidth="1"/>
    <col min="1028" max="1028" width="20.42578125" style="5" bestFit="1" customWidth="1"/>
    <col min="1029" max="1029" width="11.85546875" style="5" bestFit="1" customWidth="1"/>
    <col min="1030" max="1030" width="18.85546875" style="5" customWidth="1"/>
    <col min="1031" max="1032" width="14.85546875" style="5" bestFit="1" customWidth="1"/>
    <col min="1033" max="1033" width="17.5703125" style="5" bestFit="1" customWidth="1"/>
    <col min="1034" max="1034" width="11.5703125" style="5" customWidth="1"/>
    <col min="1035" max="1035" width="8.85546875" style="5"/>
    <col min="1036" max="1036" width="17.42578125" style="5" bestFit="1" customWidth="1"/>
    <col min="1037" max="1037" width="8.85546875" style="5"/>
    <col min="1038" max="1038" width="7.140625" style="5" bestFit="1" customWidth="1"/>
    <col min="1039" max="1281" width="8.85546875" style="5"/>
    <col min="1282" max="1282" width="30.5703125" style="5" customWidth="1"/>
    <col min="1283" max="1283" width="14.85546875" style="5" bestFit="1" customWidth="1"/>
    <col min="1284" max="1284" width="20.42578125" style="5" bestFit="1" customWidth="1"/>
    <col min="1285" max="1285" width="11.85546875" style="5" bestFit="1" customWidth="1"/>
    <col min="1286" max="1286" width="18.85546875" style="5" customWidth="1"/>
    <col min="1287" max="1288" width="14.85546875" style="5" bestFit="1" customWidth="1"/>
    <col min="1289" max="1289" width="17.5703125" style="5" bestFit="1" customWidth="1"/>
    <col min="1290" max="1290" width="11.5703125" style="5" customWidth="1"/>
    <col min="1291" max="1291" width="8.85546875" style="5"/>
    <col min="1292" max="1292" width="17.42578125" style="5" bestFit="1" customWidth="1"/>
    <col min="1293" max="1293" width="8.85546875" style="5"/>
    <col min="1294" max="1294" width="7.140625" style="5" bestFit="1" customWidth="1"/>
    <col min="1295" max="1537" width="8.85546875" style="5"/>
    <col min="1538" max="1538" width="30.5703125" style="5" customWidth="1"/>
    <col min="1539" max="1539" width="14.85546875" style="5" bestFit="1" customWidth="1"/>
    <col min="1540" max="1540" width="20.42578125" style="5" bestFit="1" customWidth="1"/>
    <col min="1541" max="1541" width="11.85546875" style="5" bestFit="1" customWidth="1"/>
    <col min="1542" max="1542" width="18.85546875" style="5" customWidth="1"/>
    <col min="1543" max="1544" width="14.85546875" style="5" bestFit="1" customWidth="1"/>
    <col min="1545" max="1545" width="17.5703125" style="5" bestFit="1" customWidth="1"/>
    <col min="1546" max="1546" width="11.5703125" style="5" customWidth="1"/>
    <col min="1547" max="1547" width="8.85546875" style="5"/>
    <col min="1548" max="1548" width="17.42578125" style="5" bestFit="1" customWidth="1"/>
    <col min="1549" max="1549" width="8.85546875" style="5"/>
    <col min="1550" max="1550" width="7.140625" style="5" bestFit="1" customWidth="1"/>
    <col min="1551" max="1793" width="8.85546875" style="5"/>
    <col min="1794" max="1794" width="30.5703125" style="5" customWidth="1"/>
    <col min="1795" max="1795" width="14.85546875" style="5" bestFit="1" customWidth="1"/>
    <col min="1796" max="1796" width="20.42578125" style="5" bestFit="1" customWidth="1"/>
    <col min="1797" max="1797" width="11.85546875" style="5" bestFit="1" customWidth="1"/>
    <col min="1798" max="1798" width="18.85546875" style="5" customWidth="1"/>
    <col min="1799" max="1800" width="14.85546875" style="5" bestFit="1" customWidth="1"/>
    <col min="1801" max="1801" width="17.5703125" style="5" bestFit="1" customWidth="1"/>
    <col min="1802" max="1802" width="11.5703125" style="5" customWidth="1"/>
    <col min="1803" max="1803" width="8.85546875" style="5"/>
    <col min="1804" max="1804" width="17.42578125" style="5" bestFit="1" customWidth="1"/>
    <col min="1805" max="1805" width="8.85546875" style="5"/>
    <col min="1806" max="1806" width="7.140625" style="5" bestFit="1" customWidth="1"/>
    <col min="1807" max="2049" width="8.85546875" style="5"/>
    <col min="2050" max="2050" width="30.5703125" style="5" customWidth="1"/>
    <col min="2051" max="2051" width="14.85546875" style="5" bestFit="1" customWidth="1"/>
    <col min="2052" max="2052" width="20.42578125" style="5" bestFit="1" customWidth="1"/>
    <col min="2053" max="2053" width="11.85546875" style="5" bestFit="1" customWidth="1"/>
    <col min="2054" max="2054" width="18.85546875" style="5" customWidth="1"/>
    <col min="2055" max="2056" width="14.85546875" style="5" bestFit="1" customWidth="1"/>
    <col min="2057" max="2057" width="17.5703125" style="5" bestFit="1" customWidth="1"/>
    <col min="2058" max="2058" width="11.5703125" style="5" customWidth="1"/>
    <col min="2059" max="2059" width="8.85546875" style="5"/>
    <col min="2060" max="2060" width="17.42578125" style="5" bestFit="1" customWidth="1"/>
    <col min="2061" max="2061" width="8.85546875" style="5"/>
    <col min="2062" max="2062" width="7.140625" style="5" bestFit="1" customWidth="1"/>
    <col min="2063" max="2305" width="8.85546875" style="5"/>
    <col min="2306" max="2306" width="30.5703125" style="5" customWidth="1"/>
    <col min="2307" max="2307" width="14.85546875" style="5" bestFit="1" customWidth="1"/>
    <col min="2308" max="2308" width="20.42578125" style="5" bestFit="1" customWidth="1"/>
    <col min="2309" max="2309" width="11.85546875" style="5" bestFit="1" customWidth="1"/>
    <col min="2310" max="2310" width="18.85546875" style="5" customWidth="1"/>
    <col min="2311" max="2312" width="14.85546875" style="5" bestFit="1" customWidth="1"/>
    <col min="2313" max="2313" width="17.5703125" style="5" bestFit="1" customWidth="1"/>
    <col min="2314" max="2314" width="11.5703125" style="5" customWidth="1"/>
    <col min="2315" max="2315" width="8.85546875" style="5"/>
    <col min="2316" max="2316" width="17.42578125" style="5" bestFit="1" customWidth="1"/>
    <col min="2317" max="2317" width="8.85546875" style="5"/>
    <col min="2318" max="2318" width="7.140625" style="5" bestFit="1" customWidth="1"/>
    <col min="2319" max="2561" width="8.85546875" style="5"/>
    <col min="2562" max="2562" width="30.5703125" style="5" customWidth="1"/>
    <col min="2563" max="2563" width="14.85546875" style="5" bestFit="1" customWidth="1"/>
    <col min="2564" max="2564" width="20.42578125" style="5" bestFit="1" customWidth="1"/>
    <col min="2565" max="2565" width="11.85546875" style="5" bestFit="1" customWidth="1"/>
    <col min="2566" max="2566" width="18.85546875" style="5" customWidth="1"/>
    <col min="2567" max="2568" width="14.85546875" style="5" bestFit="1" customWidth="1"/>
    <col min="2569" max="2569" width="17.5703125" style="5" bestFit="1" customWidth="1"/>
    <col min="2570" max="2570" width="11.5703125" style="5" customWidth="1"/>
    <col min="2571" max="2571" width="8.85546875" style="5"/>
    <col min="2572" max="2572" width="17.42578125" style="5" bestFit="1" customWidth="1"/>
    <col min="2573" max="2573" width="8.85546875" style="5"/>
    <col min="2574" max="2574" width="7.140625" style="5" bestFit="1" customWidth="1"/>
    <col min="2575" max="2817" width="8.85546875" style="5"/>
    <col min="2818" max="2818" width="30.5703125" style="5" customWidth="1"/>
    <col min="2819" max="2819" width="14.85546875" style="5" bestFit="1" customWidth="1"/>
    <col min="2820" max="2820" width="20.42578125" style="5" bestFit="1" customWidth="1"/>
    <col min="2821" max="2821" width="11.85546875" style="5" bestFit="1" customWidth="1"/>
    <col min="2822" max="2822" width="18.85546875" style="5" customWidth="1"/>
    <col min="2823" max="2824" width="14.85546875" style="5" bestFit="1" customWidth="1"/>
    <col min="2825" max="2825" width="17.5703125" style="5" bestFit="1" customWidth="1"/>
    <col min="2826" max="2826" width="11.5703125" style="5" customWidth="1"/>
    <col min="2827" max="2827" width="8.85546875" style="5"/>
    <col min="2828" max="2828" width="17.42578125" style="5" bestFit="1" customWidth="1"/>
    <col min="2829" max="2829" width="8.85546875" style="5"/>
    <col min="2830" max="2830" width="7.140625" style="5" bestFit="1" customWidth="1"/>
    <col min="2831" max="3073" width="8.85546875" style="5"/>
    <col min="3074" max="3074" width="30.5703125" style="5" customWidth="1"/>
    <col min="3075" max="3075" width="14.85546875" style="5" bestFit="1" customWidth="1"/>
    <col min="3076" max="3076" width="20.42578125" style="5" bestFit="1" customWidth="1"/>
    <col min="3077" max="3077" width="11.85546875" style="5" bestFit="1" customWidth="1"/>
    <col min="3078" max="3078" width="18.85546875" style="5" customWidth="1"/>
    <col min="3079" max="3080" width="14.85546875" style="5" bestFit="1" customWidth="1"/>
    <col min="3081" max="3081" width="17.5703125" style="5" bestFit="1" customWidth="1"/>
    <col min="3082" max="3082" width="11.5703125" style="5" customWidth="1"/>
    <col min="3083" max="3083" width="8.85546875" style="5"/>
    <col min="3084" max="3084" width="17.42578125" style="5" bestFit="1" customWidth="1"/>
    <col min="3085" max="3085" width="8.85546875" style="5"/>
    <col min="3086" max="3086" width="7.140625" style="5" bestFit="1" customWidth="1"/>
    <col min="3087" max="3329" width="8.85546875" style="5"/>
    <col min="3330" max="3330" width="30.5703125" style="5" customWidth="1"/>
    <col min="3331" max="3331" width="14.85546875" style="5" bestFit="1" customWidth="1"/>
    <col min="3332" max="3332" width="20.42578125" style="5" bestFit="1" customWidth="1"/>
    <col min="3333" max="3333" width="11.85546875" style="5" bestFit="1" customWidth="1"/>
    <col min="3334" max="3334" width="18.85546875" style="5" customWidth="1"/>
    <col min="3335" max="3336" width="14.85546875" style="5" bestFit="1" customWidth="1"/>
    <col min="3337" max="3337" width="17.5703125" style="5" bestFit="1" customWidth="1"/>
    <col min="3338" max="3338" width="11.5703125" style="5" customWidth="1"/>
    <col min="3339" max="3339" width="8.85546875" style="5"/>
    <col min="3340" max="3340" width="17.42578125" style="5" bestFit="1" customWidth="1"/>
    <col min="3341" max="3341" width="8.85546875" style="5"/>
    <col min="3342" max="3342" width="7.140625" style="5" bestFit="1" customWidth="1"/>
    <col min="3343" max="3585" width="8.85546875" style="5"/>
    <col min="3586" max="3586" width="30.5703125" style="5" customWidth="1"/>
    <col min="3587" max="3587" width="14.85546875" style="5" bestFit="1" customWidth="1"/>
    <col min="3588" max="3588" width="20.42578125" style="5" bestFit="1" customWidth="1"/>
    <col min="3589" max="3589" width="11.85546875" style="5" bestFit="1" customWidth="1"/>
    <col min="3590" max="3590" width="18.85546875" style="5" customWidth="1"/>
    <col min="3591" max="3592" width="14.85546875" style="5" bestFit="1" customWidth="1"/>
    <col min="3593" max="3593" width="17.5703125" style="5" bestFit="1" customWidth="1"/>
    <col min="3594" max="3594" width="11.5703125" style="5" customWidth="1"/>
    <col min="3595" max="3595" width="8.85546875" style="5"/>
    <col min="3596" max="3596" width="17.42578125" style="5" bestFit="1" customWidth="1"/>
    <col min="3597" max="3597" width="8.85546875" style="5"/>
    <col min="3598" max="3598" width="7.140625" style="5" bestFit="1" customWidth="1"/>
    <col min="3599" max="3841" width="8.85546875" style="5"/>
    <col min="3842" max="3842" width="30.5703125" style="5" customWidth="1"/>
    <col min="3843" max="3843" width="14.85546875" style="5" bestFit="1" customWidth="1"/>
    <col min="3844" max="3844" width="20.42578125" style="5" bestFit="1" customWidth="1"/>
    <col min="3845" max="3845" width="11.85546875" style="5" bestFit="1" customWidth="1"/>
    <col min="3846" max="3846" width="18.85546875" style="5" customWidth="1"/>
    <col min="3847" max="3848" width="14.85546875" style="5" bestFit="1" customWidth="1"/>
    <col min="3849" max="3849" width="17.5703125" style="5" bestFit="1" customWidth="1"/>
    <col min="3850" max="3850" width="11.5703125" style="5" customWidth="1"/>
    <col min="3851" max="3851" width="8.85546875" style="5"/>
    <col min="3852" max="3852" width="17.42578125" style="5" bestFit="1" customWidth="1"/>
    <col min="3853" max="3853" width="8.85546875" style="5"/>
    <col min="3854" max="3854" width="7.140625" style="5" bestFit="1" customWidth="1"/>
    <col min="3855" max="4097" width="8.85546875" style="5"/>
    <col min="4098" max="4098" width="30.5703125" style="5" customWidth="1"/>
    <col min="4099" max="4099" width="14.85546875" style="5" bestFit="1" customWidth="1"/>
    <col min="4100" max="4100" width="20.42578125" style="5" bestFit="1" customWidth="1"/>
    <col min="4101" max="4101" width="11.85546875" style="5" bestFit="1" customWidth="1"/>
    <col min="4102" max="4102" width="18.85546875" style="5" customWidth="1"/>
    <col min="4103" max="4104" width="14.85546875" style="5" bestFit="1" customWidth="1"/>
    <col min="4105" max="4105" width="17.5703125" style="5" bestFit="1" customWidth="1"/>
    <col min="4106" max="4106" width="11.5703125" style="5" customWidth="1"/>
    <col min="4107" max="4107" width="8.85546875" style="5"/>
    <col min="4108" max="4108" width="17.42578125" style="5" bestFit="1" customWidth="1"/>
    <col min="4109" max="4109" width="8.85546875" style="5"/>
    <col min="4110" max="4110" width="7.140625" style="5" bestFit="1" customWidth="1"/>
    <col min="4111" max="4353" width="8.85546875" style="5"/>
    <col min="4354" max="4354" width="30.5703125" style="5" customWidth="1"/>
    <col min="4355" max="4355" width="14.85546875" style="5" bestFit="1" customWidth="1"/>
    <col min="4356" max="4356" width="20.42578125" style="5" bestFit="1" customWidth="1"/>
    <col min="4357" max="4357" width="11.85546875" style="5" bestFit="1" customWidth="1"/>
    <col min="4358" max="4358" width="18.85546875" style="5" customWidth="1"/>
    <col min="4359" max="4360" width="14.85546875" style="5" bestFit="1" customWidth="1"/>
    <col min="4361" max="4361" width="17.5703125" style="5" bestFit="1" customWidth="1"/>
    <col min="4362" max="4362" width="11.5703125" style="5" customWidth="1"/>
    <col min="4363" max="4363" width="8.85546875" style="5"/>
    <col min="4364" max="4364" width="17.42578125" style="5" bestFit="1" customWidth="1"/>
    <col min="4365" max="4365" width="8.85546875" style="5"/>
    <col min="4366" max="4366" width="7.140625" style="5" bestFit="1" customWidth="1"/>
    <col min="4367" max="4609" width="8.85546875" style="5"/>
    <col min="4610" max="4610" width="30.5703125" style="5" customWidth="1"/>
    <col min="4611" max="4611" width="14.85546875" style="5" bestFit="1" customWidth="1"/>
    <col min="4612" max="4612" width="20.42578125" style="5" bestFit="1" customWidth="1"/>
    <col min="4613" max="4613" width="11.85546875" style="5" bestFit="1" customWidth="1"/>
    <col min="4614" max="4614" width="18.85546875" style="5" customWidth="1"/>
    <col min="4615" max="4616" width="14.85546875" style="5" bestFit="1" customWidth="1"/>
    <col min="4617" max="4617" width="17.5703125" style="5" bestFit="1" customWidth="1"/>
    <col min="4618" max="4618" width="11.5703125" style="5" customWidth="1"/>
    <col min="4619" max="4619" width="8.85546875" style="5"/>
    <col min="4620" max="4620" width="17.42578125" style="5" bestFit="1" customWidth="1"/>
    <col min="4621" max="4621" width="8.85546875" style="5"/>
    <col min="4622" max="4622" width="7.140625" style="5" bestFit="1" customWidth="1"/>
    <col min="4623" max="4865" width="8.85546875" style="5"/>
    <col min="4866" max="4866" width="30.5703125" style="5" customWidth="1"/>
    <col min="4867" max="4867" width="14.85546875" style="5" bestFit="1" customWidth="1"/>
    <col min="4868" max="4868" width="20.42578125" style="5" bestFit="1" customWidth="1"/>
    <col min="4869" max="4869" width="11.85546875" style="5" bestFit="1" customWidth="1"/>
    <col min="4870" max="4870" width="18.85546875" style="5" customWidth="1"/>
    <col min="4871" max="4872" width="14.85546875" style="5" bestFit="1" customWidth="1"/>
    <col min="4873" max="4873" width="17.5703125" style="5" bestFit="1" customWidth="1"/>
    <col min="4874" max="4874" width="11.5703125" style="5" customWidth="1"/>
    <col min="4875" max="4875" width="8.85546875" style="5"/>
    <col min="4876" max="4876" width="17.42578125" style="5" bestFit="1" customWidth="1"/>
    <col min="4877" max="4877" width="8.85546875" style="5"/>
    <col min="4878" max="4878" width="7.140625" style="5" bestFit="1" customWidth="1"/>
    <col min="4879" max="5121" width="8.85546875" style="5"/>
    <col min="5122" max="5122" width="30.5703125" style="5" customWidth="1"/>
    <col min="5123" max="5123" width="14.85546875" style="5" bestFit="1" customWidth="1"/>
    <col min="5124" max="5124" width="20.42578125" style="5" bestFit="1" customWidth="1"/>
    <col min="5125" max="5125" width="11.85546875" style="5" bestFit="1" customWidth="1"/>
    <col min="5126" max="5126" width="18.85546875" style="5" customWidth="1"/>
    <col min="5127" max="5128" width="14.85546875" style="5" bestFit="1" customWidth="1"/>
    <col min="5129" max="5129" width="17.5703125" style="5" bestFit="1" customWidth="1"/>
    <col min="5130" max="5130" width="11.5703125" style="5" customWidth="1"/>
    <col min="5131" max="5131" width="8.85546875" style="5"/>
    <col min="5132" max="5132" width="17.42578125" style="5" bestFit="1" customWidth="1"/>
    <col min="5133" max="5133" width="8.85546875" style="5"/>
    <col min="5134" max="5134" width="7.140625" style="5" bestFit="1" customWidth="1"/>
    <col min="5135" max="5377" width="8.85546875" style="5"/>
    <col min="5378" max="5378" width="30.5703125" style="5" customWidth="1"/>
    <col min="5379" max="5379" width="14.85546875" style="5" bestFit="1" customWidth="1"/>
    <col min="5380" max="5380" width="20.42578125" style="5" bestFit="1" customWidth="1"/>
    <col min="5381" max="5381" width="11.85546875" style="5" bestFit="1" customWidth="1"/>
    <col min="5382" max="5382" width="18.85546875" style="5" customWidth="1"/>
    <col min="5383" max="5384" width="14.85546875" style="5" bestFit="1" customWidth="1"/>
    <col min="5385" max="5385" width="17.5703125" style="5" bestFit="1" customWidth="1"/>
    <col min="5386" max="5386" width="11.5703125" style="5" customWidth="1"/>
    <col min="5387" max="5387" width="8.85546875" style="5"/>
    <col min="5388" max="5388" width="17.42578125" style="5" bestFit="1" customWidth="1"/>
    <col min="5389" max="5389" width="8.85546875" style="5"/>
    <col min="5390" max="5390" width="7.140625" style="5" bestFit="1" customWidth="1"/>
    <col min="5391" max="5633" width="8.85546875" style="5"/>
    <col min="5634" max="5634" width="30.5703125" style="5" customWidth="1"/>
    <col min="5635" max="5635" width="14.85546875" style="5" bestFit="1" customWidth="1"/>
    <col min="5636" max="5636" width="20.42578125" style="5" bestFit="1" customWidth="1"/>
    <col min="5637" max="5637" width="11.85546875" style="5" bestFit="1" customWidth="1"/>
    <col min="5638" max="5638" width="18.85546875" style="5" customWidth="1"/>
    <col min="5639" max="5640" width="14.85546875" style="5" bestFit="1" customWidth="1"/>
    <col min="5641" max="5641" width="17.5703125" style="5" bestFit="1" customWidth="1"/>
    <col min="5642" max="5642" width="11.5703125" style="5" customWidth="1"/>
    <col min="5643" max="5643" width="8.85546875" style="5"/>
    <col min="5644" max="5644" width="17.42578125" style="5" bestFit="1" customWidth="1"/>
    <col min="5645" max="5645" width="8.85546875" style="5"/>
    <col min="5646" max="5646" width="7.140625" style="5" bestFit="1" customWidth="1"/>
    <col min="5647" max="5889" width="8.85546875" style="5"/>
    <col min="5890" max="5890" width="30.5703125" style="5" customWidth="1"/>
    <col min="5891" max="5891" width="14.85546875" style="5" bestFit="1" customWidth="1"/>
    <col min="5892" max="5892" width="20.42578125" style="5" bestFit="1" customWidth="1"/>
    <col min="5893" max="5893" width="11.85546875" style="5" bestFit="1" customWidth="1"/>
    <col min="5894" max="5894" width="18.85546875" style="5" customWidth="1"/>
    <col min="5895" max="5896" width="14.85546875" style="5" bestFit="1" customWidth="1"/>
    <col min="5897" max="5897" width="17.5703125" style="5" bestFit="1" customWidth="1"/>
    <col min="5898" max="5898" width="11.5703125" style="5" customWidth="1"/>
    <col min="5899" max="5899" width="8.85546875" style="5"/>
    <col min="5900" max="5900" width="17.42578125" style="5" bestFit="1" customWidth="1"/>
    <col min="5901" max="5901" width="8.85546875" style="5"/>
    <col min="5902" max="5902" width="7.140625" style="5" bestFit="1" customWidth="1"/>
    <col min="5903" max="6145" width="8.85546875" style="5"/>
    <col min="6146" max="6146" width="30.5703125" style="5" customWidth="1"/>
    <col min="6147" max="6147" width="14.85546875" style="5" bestFit="1" customWidth="1"/>
    <col min="6148" max="6148" width="20.42578125" style="5" bestFit="1" customWidth="1"/>
    <col min="6149" max="6149" width="11.85546875" style="5" bestFit="1" customWidth="1"/>
    <col min="6150" max="6150" width="18.85546875" style="5" customWidth="1"/>
    <col min="6151" max="6152" width="14.85546875" style="5" bestFit="1" customWidth="1"/>
    <col min="6153" max="6153" width="17.5703125" style="5" bestFit="1" customWidth="1"/>
    <col min="6154" max="6154" width="11.5703125" style="5" customWidth="1"/>
    <col min="6155" max="6155" width="8.85546875" style="5"/>
    <col min="6156" max="6156" width="17.42578125" style="5" bestFit="1" customWidth="1"/>
    <col min="6157" max="6157" width="8.85546875" style="5"/>
    <col min="6158" max="6158" width="7.140625" style="5" bestFit="1" customWidth="1"/>
    <col min="6159" max="6401" width="8.85546875" style="5"/>
    <col min="6402" max="6402" width="30.5703125" style="5" customWidth="1"/>
    <col min="6403" max="6403" width="14.85546875" style="5" bestFit="1" customWidth="1"/>
    <col min="6404" max="6404" width="20.42578125" style="5" bestFit="1" customWidth="1"/>
    <col min="6405" max="6405" width="11.85546875" style="5" bestFit="1" customWidth="1"/>
    <col min="6406" max="6406" width="18.85546875" style="5" customWidth="1"/>
    <col min="6407" max="6408" width="14.85546875" style="5" bestFit="1" customWidth="1"/>
    <col min="6409" max="6409" width="17.5703125" style="5" bestFit="1" customWidth="1"/>
    <col min="6410" max="6410" width="11.5703125" style="5" customWidth="1"/>
    <col min="6411" max="6411" width="8.85546875" style="5"/>
    <col min="6412" max="6412" width="17.42578125" style="5" bestFit="1" customWidth="1"/>
    <col min="6413" max="6413" width="8.85546875" style="5"/>
    <col min="6414" max="6414" width="7.140625" style="5" bestFit="1" customWidth="1"/>
    <col min="6415" max="6657" width="8.85546875" style="5"/>
    <col min="6658" max="6658" width="30.5703125" style="5" customWidth="1"/>
    <col min="6659" max="6659" width="14.85546875" style="5" bestFit="1" customWidth="1"/>
    <col min="6660" max="6660" width="20.42578125" style="5" bestFit="1" customWidth="1"/>
    <col min="6661" max="6661" width="11.85546875" style="5" bestFit="1" customWidth="1"/>
    <col min="6662" max="6662" width="18.85546875" style="5" customWidth="1"/>
    <col min="6663" max="6664" width="14.85546875" style="5" bestFit="1" customWidth="1"/>
    <col min="6665" max="6665" width="17.5703125" style="5" bestFit="1" customWidth="1"/>
    <col min="6666" max="6666" width="11.5703125" style="5" customWidth="1"/>
    <col min="6667" max="6667" width="8.85546875" style="5"/>
    <col min="6668" max="6668" width="17.42578125" style="5" bestFit="1" customWidth="1"/>
    <col min="6669" max="6669" width="8.85546875" style="5"/>
    <col min="6670" max="6670" width="7.140625" style="5" bestFit="1" customWidth="1"/>
    <col min="6671" max="6913" width="8.85546875" style="5"/>
    <col min="6914" max="6914" width="30.5703125" style="5" customWidth="1"/>
    <col min="6915" max="6915" width="14.85546875" style="5" bestFit="1" customWidth="1"/>
    <col min="6916" max="6916" width="20.42578125" style="5" bestFit="1" customWidth="1"/>
    <col min="6917" max="6917" width="11.85546875" style="5" bestFit="1" customWidth="1"/>
    <col min="6918" max="6918" width="18.85546875" style="5" customWidth="1"/>
    <col min="6919" max="6920" width="14.85546875" style="5" bestFit="1" customWidth="1"/>
    <col min="6921" max="6921" width="17.5703125" style="5" bestFit="1" customWidth="1"/>
    <col min="6922" max="6922" width="11.5703125" style="5" customWidth="1"/>
    <col min="6923" max="6923" width="8.85546875" style="5"/>
    <col min="6924" max="6924" width="17.42578125" style="5" bestFit="1" customWidth="1"/>
    <col min="6925" max="6925" width="8.85546875" style="5"/>
    <col min="6926" max="6926" width="7.140625" style="5" bestFit="1" customWidth="1"/>
    <col min="6927" max="7169" width="8.85546875" style="5"/>
    <col min="7170" max="7170" width="30.5703125" style="5" customWidth="1"/>
    <col min="7171" max="7171" width="14.85546875" style="5" bestFit="1" customWidth="1"/>
    <col min="7172" max="7172" width="20.42578125" style="5" bestFit="1" customWidth="1"/>
    <col min="7173" max="7173" width="11.85546875" style="5" bestFit="1" customWidth="1"/>
    <col min="7174" max="7174" width="18.85546875" style="5" customWidth="1"/>
    <col min="7175" max="7176" width="14.85546875" style="5" bestFit="1" customWidth="1"/>
    <col min="7177" max="7177" width="17.5703125" style="5" bestFit="1" customWidth="1"/>
    <col min="7178" max="7178" width="11.5703125" style="5" customWidth="1"/>
    <col min="7179" max="7179" width="8.85546875" style="5"/>
    <col min="7180" max="7180" width="17.42578125" style="5" bestFit="1" customWidth="1"/>
    <col min="7181" max="7181" width="8.85546875" style="5"/>
    <col min="7182" max="7182" width="7.140625" style="5" bestFit="1" customWidth="1"/>
    <col min="7183" max="7425" width="8.85546875" style="5"/>
    <col min="7426" max="7426" width="30.5703125" style="5" customWidth="1"/>
    <col min="7427" max="7427" width="14.85546875" style="5" bestFit="1" customWidth="1"/>
    <col min="7428" max="7428" width="20.42578125" style="5" bestFit="1" customWidth="1"/>
    <col min="7429" max="7429" width="11.85546875" style="5" bestFit="1" customWidth="1"/>
    <col min="7430" max="7430" width="18.85546875" style="5" customWidth="1"/>
    <col min="7431" max="7432" width="14.85546875" style="5" bestFit="1" customWidth="1"/>
    <col min="7433" max="7433" width="17.5703125" style="5" bestFit="1" customWidth="1"/>
    <col min="7434" max="7434" width="11.5703125" style="5" customWidth="1"/>
    <col min="7435" max="7435" width="8.85546875" style="5"/>
    <col min="7436" max="7436" width="17.42578125" style="5" bestFit="1" customWidth="1"/>
    <col min="7437" max="7437" width="8.85546875" style="5"/>
    <col min="7438" max="7438" width="7.140625" style="5" bestFit="1" customWidth="1"/>
    <col min="7439" max="7681" width="8.85546875" style="5"/>
    <col min="7682" max="7682" width="30.5703125" style="5" customWidth="1"/>
    <col min="7683" max="7683" width="14.85546875" style="5" bestFit="1" customWidth="1"/>
    <col min="7684" max="7684" width="20.42578125" style="5" bestFit="1" customWidth="1"/>
    <col min="7685" max="7685" width="11.85546875" style="5" bestFit="1" customWidth="1"/>
    <col min="7686" max="7686" width="18.85546875" style="5" customWidth="1"/>
    <col min="7687" max="7688" width="14.85546875" style="5" bestFit="1" customWidth="1"/>
    <col min="7689" max="7689" width="17.5703125" style="5" bestFit="1" customWidth="1"/>
    <col min="7690" max="7690" width="11.5703125" style="5" customWidth="1"/>
    <col min="7691" max="7691" width="8.85546875" style="5"/>
    <col min="7692" max="7692" width="17.42578125" style="5" bestFit="1" customWidth="1"/>
    <col min="7693" max="7693" width="8.85546875" style="5"/>
    <col min="7694" max="7694" width="7.140625" style="5" bestFit="1" customWidth="1"/>
    <col min="7695" max="7937" width="8.85546875" style="5"/>
    <col min="7938" max="7938" width="30.5703125" style="5" customWidth="1"/>
    <col min="7939" max="7939" width="14.85546875" style="5" bestFit="1" customWidth="1"/>
    <col min="7940" max="7940" width="20.42578125" style="5" bestFit="1" customWidth="1"/>
    <col min="7941" max="7941" width="11.85546875" style="5" bestFit="1" customWidth="1"/>
    <col min="7942" max="7942" width="18.85546875" style="5" customWidth="1"/>
    <col min="7943" max="7944" width="14.85546875" style="5" bestFit="1" customWidth="1"/>
    <col min="7945" max="7945" width="17.5703125" style="5" bestFit="1" customWidth="1"/>
    <col min="7946" max="7946" width="11.5703125" style="5" customWidth="1"/>
    <col min="7947" max="7947" width="8.85546875" style="5"/>
    <col min="7948" max="7948" width="17.42578125" style="5" bestFit="1" customWidth="1"/>
    <col min="7949" max="7949" width="8.85546875" style="5"/>
    <col min="7950" max="7950" width="7.140625" style="5" bestFit="1" customWidth="1"/>
    <col min="7951" max="8193" width="8.85546875" style="5"/>
    <col min="8194" max="8194" width="30.5703125" style="5" customWidth="1"/>
    <col min="8195" max="8195" width="14.85546875" style="5" bestFit="1" customWidth="1"/>
    <col min="8196" max="8196" width="20.42578125" style="5" bestFit="1" customWidth="1"/>
    <col min="8197" max="8197" width="11.85546875" style="5" bestFit="1" customWidth="1"/>
    <col min="8198" max="8198" width="18.85546875" style="5" customWidth="1"/>
    <col min="8199" max="8200" width="14.85546875" style="5" bestFit="1" customWidth="1"/>
    <col min="8201" max="8201" width="17.5703125" style="5" bestFit="1" customWidth="1"/>
    <col min="8202" max="8202" width="11.5703125" style="5" customWidth="1"/>
    <col min="8203" max="8203" width="8.85546875" style="5"/>
    <col min="8204" max="8204" width="17.42578125" style="5" bestFit="1" customWidth="1"/>
    <col min="8205" max="8205" width="8.85546875" style="5"/>
    <col min="8206" max="8206" width="7.140625" style="5" bestFit="1" customWidth="1"/>
    <col min="8207" max="8449" width="8.85546875" style="5"/>
    <col min="8450" max="8450" width="30.5703125" style="5" customWidth="1"/>
    <col min="8451" max="8451" width="14.85546875" style="5" bestFit="1" customWidth="1"/>
    <col min="8452" max="8452" width="20.42578125" style="5" bestFit="1" customWidth="1"/>
    <col min="8453" max="8453" width="11.85546875" style="5" bestFit="1" customWidth="1"/>
    <col min="8454" max="8454" width="18.85546875" style="5" customWidth="1"/>
    <col min="8455" max="8456" width="14.85546875" style="5" bestFit="1" customWidth="1"/>
    <col min="8457" max="8457" width="17.5703125" style="5" bestFit="1" customWidth="1"/>
    <col min="8458" max="8458" width="11.5703125" style="5" customWidth="1"/>
    <col min="8459" max="8459" width="8.85546875" style="5"/>
    <col min="8460" max="8460" width="17.42578125" style="5" bestFit="1" customWidth="1"/>
    <col min="8461" max="8461" width="8.85546875" style="5"/>
    <col min="8462" max="8462" width="7.140625" style="5" bestFit="1" customWidth="1"/>
    <col min="8463" max="8705" width="8.85546875" style="5"/>
    <col min="8706" max="8706" width="30.5703125" style="5" customWidth="1"/>
    <col min="8707" max="8707" width="14.85546875" style="5" bestFit="1" customWidth="1"/>
    <col min="8708" max="8708" width="20.42578125" style="5" bestFit="1" customWidth="1"/>
    <col min="8709" max="8709" width="11.85546875" style="5" bestFit="1" customWidth="1"/>
    <col min="8710" max="8710" width="18.85546875" style="5" customWidth="1"/>
    <col min="8711" max="8712" width="14.85546875" style="5" bestFit="1" customWidth="1"/>
    <col min="8713" max="8713" width="17.5703125" style="5" bestFit="1" customWidth="1"/>
    <col min="8714" max="8714" width="11.5703125" style="5" customWidth="1"/>
    <col min="8715" max="8715" width="8.85546875" style="5"/>
    <col min="8716" max="8716" width="17.42578125" style="5" bestFit="1" customWidth="1"/>
    <col min="8717" max="8717" width="8.85546875" style="5"/>
    <col min="8718" max="8718" width="7.140625" style="5" bestFit="1" customWidth="1"/>
    <col min="8719" max="8961" width="8.85546875" style="5"/>
    <col min="8962" max="8962" width="30.5703125" style="5" customWidth="1"/>
    <col min="8963" max="8963" width="14.85546875" style="5" bestFit="1" customWidth="1"/>
    <col min="8964" max="8964" width="20.42578125" style="5" bestFit="1" customWidth="1"/>
    <col min="8965" max="8965" width="11.85546875" style="5" bestFit="1" customWidth="1"/>
    <col min="8966" max="8966" width="18.85546875" style="5" customWidth="1"/>
    <col min="8967" max="8968" width="14.85546875" style="5" bestFit="1" customWidth="1"/>
    <col min="8969" max="8969" width="17.5703125" style="5" bestFit="1" customWidth="1"/>
    <col min="8970" max="8970" width="11.5703125" style="5" customWidth="1"/>
    <col min="8971" max="8971" width="8.85546875" style="5"/>
    <col min="8972" max="8972" width="17.42578125" style="5" bestFit="1" customWidth="1"/>
    <col min="8973" max="8973" width="8.85546875" style="5"/>
    <col min="8974" max="8974" width="7.140625" style="5" bestFit="1" customWidth="1"/>
    <col min="8975" max="9217" width="8.85546875" style="5"/>
    <col min="9218" max="9218" width="30.5703125" style="5" customWidth="1"/>
    <col min="9219" max="9219" width="14.85546875" style="5" bestFit="1" customWidth="1"/>
    <col min="9220" max="9220" width="20.42578125" style="5" bestFit="1" customWidth="1"/>
    <col min="9221" max="9221" width="11.85546875" style="5" bestFit="1" customWidth="1"/>
    <col min="9222" max="9222" width="18.85546875" style="5" customWidth="1"/>
    <col min="9223" max="9224" width="14.85546875" style="5" bestFit="1" customWidth="1"/>
    <col min="9225" max="9225" width="17.5703125" style="5" bestFit="1" customWidth="1"/>
    <col min="9226" max="9226" width="11.5703125" style="5" customWidth="1"/>
    <col min="9227" max="9227" width="8.85546875" style="5"/>
    <col min="9228" max="9228" width="17.42578125" style="5" bestFit="1" customWidth="1"/>
    <col min="9229" max="9229" width="8.85546875" style="5"/>
    <col min="9230" max="9230" width="7.140625" style="5" bestFit="1" customWidth="1"/>
    <col min="9231" max="9473" width="8.85546875" style="5"/>
    <col min="9474" max="9474" width="30.5703125" style="5" customWidth="1"/>
    <col min="9475" max="9475" width="14.85546875" style="5" bestFit="1" customWidth="1"/>
    <col min="9476" max="9476" width="20.42578125" style="5" bestFit="1" customWidth="1"/>
    <col min="9477" max="9477" width="11.85546875" style="5" bestFit="1" customWidth="1"/>
    <col min="9478" max="9478" width="18.85546875" style="5" customWidth="1"/>
    <col min="9479" max="9480" width="14.85546875" style="5" bestFit="1" customWidth="1"/>
    <col min="9481" max="9481" width="17.5703125" style="5" bestFit="1" customWidth="1"/>
    <col min="9482" max="9482" width="11.5703125" style="5" customWidth="1"/>
    <col min="9483" max="9483" width="8.85546875" style="5"/>
    <col min="9484" max="9484" width="17.42578125" style="5" bestFit="1" customWidth="1"/>
    <col min="9485" max="9485" width="8.85546875" style="5"/>
    <col min="9486" max="9486" width="7.140625" style="5" bestFit="1" customWidth="1"/>
    <col min="9487" max="9729" width="8.85546875" style="5"/>
    <col min="9730" max="9730" width="30.5703125" style="5" customWidth="1"/>
    <col min="9731" max="9731" width="14.85546875" style="5" bestFit="1" customWidth="1"/>
    <col min="9732" max="9732" width="20.42578125" style="5" bestFit="1" customWidth="1"/>
    <col min="9733" max="9733" width="11.85546875" style="5" bestFit="1" customWidth="1"/>
    <col min="9734" max="9734" width="18.85546875" style="5" customWidth="1"/>
    <col min="9735" max="9736" width="14.85546875" style="5" bestFit="1" customWidth="1"/>
    <col min="9737" max="9737" width="17.5703125" style="5" bestFit="1" customWidth="1"/>
    <col min="9738" max="9738" width="11.5703125" style="5" customWidth="1"/>
    <col min="9739" max="9739" width="8.85546875" style="5"/>
    <col min="9740" max="9740" width="17.42578125" style="5" bestFit="1" customWidth="1"/>
    <col min="9741" max="9741" width="8.85546875" style="5"/>
    <col min="9742" max="9742" width="7.140625" style="5" bestFit="1" customWidth="1"/>
    <col min="9743" max="9985" width="8.85546875" style="5"/>
    <col min="9986" max="9986" width="30.5703125" style="5" customWidth="1"/>
    <col min="9987" max="9987" width="14.85546875" style="5" bestFit="1" customWidth="1"/>
    <col min="9988" max="9988" width="20.42578125" style="5" bestFit="1" customWidth="1"/>
    <col min="9989" max="9989" width="11.85546875" style="5" bestFit="1" customWidth="1"/>
    <col min="9990" max="9990" width="18.85546875" style="5" customWidth="1"/>
    <col min="9991" max="9992" width="14.85546875" style="5" bestFit="1" customWidth="1"/>
    <col min="9993" max="9993" width="17.5703125" style="5" bestFit="1" customWidth="1"/>
    <col min="9994" max="9994" width="11.5703125" style="5" customWidth="1"/>
    <col min="9995" max="9995" width="8.85546875" style="5"/>
    <col min="9996" max="9996" width="17.42578125" style="5" bestFit="1" customWidth="1"/>
    <col min="9997" max="9997" width="8.85546875" style="5"/>
    <col min="9998" max="9998" width="7.140625" style="5" bestFit="1" customWidth="1"/>
    <col min="9999" max="10241" width="8.85546875" style="5"/>
    <col min="10242" max="10242" width="30.5703125" style="5" customWidth="1"/>
    <col min="10243" max="10243" width="14.85546875" style="5" bestFit="1" customWidth="1"/>
    <col min="10244" max="10244" width="20.42578125" style="5" bestFit="1" customWidth="1"/>
    <col min="10245" max="10245" width="11.85546875" style="5" bestFit="1" customWidth="1"/>
    <col min="10246" max="10246" width="18.85546875" style="5" customWidth="1"/>
    <col min="10247" max="10248" width="14.85546875" style="5" bestFit="1" customWidth="1"/>
    <col min="10249" max="10249" width="17.5703125" style="5" bestFit="1" customWidth="1"/>
    <col min="10250" max="10250" width="11.5703125" style="5" customWidth="1"/>
    <col min="10251" max="10251" width="8.85546875" style="5"/>
    <col min="10252" max="10252" width="17.42578125" style="5" bestFit="1" customWidth="1"/>
    <col min="10253" max="10253" width="8.85546875" style="5"/>
    <col min="10254" max="10254" width="7.140625" style="5" bestFit="1" customWidth="1"/>
    <col min="10255" max="10497" width="8.85546875" style="5"/>
    <col min="10498" max="10498" width="30.5703125" style="5" customWidth="1"/>
    <col min="10499" max="10499" width="14.85546875" style="5" bestFit="1" customWidth="1"/>
    <col min="10500" max="10500" width="20.42578125" style="5" bestFit="1" customWidth="1"/>
    <col min="10501" max="10501" width="11.85546875" style="5" bestFit="1" customWidth="1"/>
    <col min="10502" max="10502" width="18.85546875" style="5" customWidth="1"/>
    <col min="10503" max="10504" width="14.85546875" style="5" bestFit="1" customWidth="1"/>
    <col min="10505" max="10505" width="17.5703125" style="5" bestFit="1" customWidth="1"/>
    <col min="10506" max="10506" width="11.5703125" style="5" customWidth="1"/>
    <col min="10507" max="10507" width="8.85546875" style="5"/>
    <col min="10508" max="10508" width="17.42578125" style="5" bestFit="1" customWidth="1"/>
    <col min="10509" max="10509" width="8.85546875" style="5"/>
    <col min="10510" max="10510" width="7.140625" style="5" bestFit="1" customWidth="1"/>
    <col min="10511" max="10753" width="8.85546875" style="5"/>
    <col min="10754" max="10754" width="30.5703125" style="5" customWidth="1"/>
    <col min="10755" max="10755" width="14.85546875" style="5" bestFit="1" customWidth="1"/>
    <col min="10756" max="10756" width="20.42578125" style="5" bestFit="1" customWidth="1"/>
    <col min="10757" max="10757" width="11.85546875" style="5" bestFit="1" customWidth="1"/>
    <col min="10758" max="10758" width="18.85546875" style="5" customWidth="1"/>
    <col min="10759" max="10760" width="14.85546875" style="5" bestFit="1" customWidth="1"/>
    <col min="10761" max="10761" width="17.5703125" style="5" bestFit="1" customWidth="1"/>
    <col min="10762" max="10762" width="11.5703125" style="5" customWidth="1"/>
    <col min="10763" max="10763" width="8.85546875" style="5"/>
    <col min="10764" max="10764" width="17.42578125" style="5" bestFit="1" customWidth="1"/>
    <col min="10765" max="10765" width="8.85546875" style="5"/>
    <col min="10766" max="10766" width="7.140625" style="5" bestFit="1" customWidth="1"/>
    <col min="10767" max="11009" width="8.85546875" style="5"/>
    <col min="11010" max="11010" width="30.5703125" style="5" customWidth="1"/>
    <col min="11011" max="11011" width="14.85546875" style="5" bestFit="1" customWidth="1"/>
    <col min="11012" max="11012" width="20.42578125" style="5" bestFit="1" customWidth="1"/>
    <col min="11013" max="11013" width="11.85546875" style="5" bestFit="1" customWidth="1"/>
    <col min="11014" max="11014" width="18.85546875" style="5" customWidth="1"/>
    <col min="11015" max="11016" width="14.85546875" style="5" bestFit="1" customWidth="1"/>
    <col min="11017" max="11017" width="17.5703125" style="5" bestFit="1" customWidth="1"/>
    <col min="11018" max="11018" width="11.5703125" style="5" customWidth="1"/>
    <col min="11019" max="11019" width="8.85546875" style="5"/>
    <col min="11020" max="11020" width="17.42578125" style="5" bestFit="1" customWidth="1"/>
    <col min="11021" max="11021" width="8.85546875" style="5"/>
    <col min="11022" max="11022" width="7.140625" style="5" bestFit="1" customWidth="1"/>
    <col min="11023" max="11265" width="8.85546875" style="5"/>
    <col min="11266" max="11266" width="30.5703125" style="5" customWidth="1"/>
    <col min="11267" max="11267" width="14.85546875" style="5" bestFit="1" customWidth="1"/>
    <col min="11268" max="11268" width="20.42578125" style="5" bestFit="1" customWidth="1"/>
    <col min="11269" max="11269" width="11.85546875" style="5" bestFit="1" customWidth="1"/>
    <col min="11270" max="11270" width="18.85546875" style="5" customWidth="1"/>
    <col min="11271" max="11272" width="14.85546875" style="5" bestFit="1" customWidth="1"/>
    <col min="11273" max="11273" width="17.5703125" style="5" bestFit="1" customWidth="1"/>
    <col min="11274" max="11274" width="11.5703125" style="5" customWidth="1"/>
    <col min="11275" max="11275" width="8.85546875" style="5"/>
    <col min="11276" max="11276" width="17.42578125" style="5" bestFit="1" customWidth="1"/>
    <col min="11277" max="11277" width="8.85546875" style="5"/>
    <col min="11278" max="11278" width="7.140625" style="5" bestFit="1" customWidth="1"/>
    <col min="11279" max="11521" width="8.85546875" style="5"/>
    <col min="11522" max="11522" width="30.5703125" style="5" customWidth="1"/>
    <col min="11523" max="11523" width="14.85546875" style="5" bestFit="1" customWidth="1"/>
    <col min="11524" max="11524" width="20.42578125" style="5" bestFit="1" customWidth="1"/>
    <col min="11525" max="11525" width="11.85546875" style="5" bestFit="1" customWidth="1"/>
    <col min="11526" max="11526" width="18.85546875" style="5" customWidth="1"/>
    <col min="11527" max="11528" width="14.85546875" style="5" bestFit="1" customWidth="1"/>
    <col min="11529" max="11529" width="17.5703125" style="5" bestFit="1" customWidth="1"/>
    <col min="11530" max="11530" width="11.5703125" style="5" customWidth="1"/>
    <col min="11531" max="11531" width="8.85546875" style="5"/>
    <col min="11532" max="11532" width="17.42578125" style="5" bestFit="1" customWidth="1"/>
    <col min="11533" max="11533" width="8.85546875" style="5"/>
    <col min="11534" max="11534" width="7.140625" style="5" bestFit="1" customWidth="1"/>
    <col min="11535" max="11777" width="8.85546875" style="5"/>
    <col min="11778" max="11778" width="30.5703125" style="5" customWidth="1"/>
    <col min="11779" max="11779" width="14.85546875" style="5" bestFit="1" customWidth="1"/>
    <col min="11780" max="11780" width="20.42578125" style="5" bestFit="1" customWidth="1"/>
    <col min="11781" max="11781" width="11.85546875" style="5" bestFit="1" customWidth="1"/>
    <col min="11782" max="11782" width="18.85546875" style="5" customWidth="1"/>
    <col min="11783" max="11784" width="14.85546875" style="5" bestFit="1" customWidth="1"/>
    <col min="11785" max="11785" width="17.5703125" style="5" bestFit="1" customWidth="1"/>
    <col min="11786" max="11786" width="11.5703125" style="5" customWidth="1"/>
    <col min="11787" max="11787" width="8.85546875" style="5"/>
    <col min="11788" max="11788" width="17.42578125" style="5" bestFit="1" customWidth="1"/>
    <col min="11789" max="11789" width="8.85546875" style="5"/>
    <col min="11790" max="11790" width="7.140625" style="5" bestFit="1" customWidth="1"/>
    <col min="11791" max="12033" width="8.85546875" style="5"/>
    <col min="12034" max="12034" width="30.5703125" style="5" customWidth="1"/>
    <col min="12035" max="12035" width="14.85546875" style="5" bestFit="1" customWidth="1"/>
    <col min="12036" max="12036" width="20.42578125" style="5" bestFit="1" customWidth="1"/>
    <col min="12037" max="12037" width="11.85546875" style="5" bestFit="1" customWidth="1"/>
    <col min="12038" max="12038" width="18.85546875" style="5" customWidth="1"/>
    <col min="12039" max="12040" width="14.85546875" style="5" bestFit="1" customWidth="1"/>
    <col min="12041" max="12041" width="17.5703125" style="5" bestFit="1" customWidth="1"/>
    <col min="12042" max="12042" width="11.5703125" style="5" customWidth="1"/>
    <col min="12043" max="12043" width="8.85546875" style="5"/>
    <col min="12044" max="12044" width="17.42578125" style="5" bestFit="1" customWidth="1"/>
    <col min="12045" max="12045" width="8.85546875" style="5"/>
    <col min="12046" max="12046" width="7.140625" style="5" bestFit="1" customWidth="1"/>
    <col min="12047" max="12289" width="8.85546875" style="5"/>
    <col min="12290" max="12290" width="30.5703125" style="5" customWidth="1"/>
    <col min="12291" max="12291" width="14.85546875" style="5" bestFit="1" customWidth="1"/>
    <col min="12292" max="12292" width="20.42578125" style="5" bestFit="1" customWidth="1"/>
    <col min="12293" max="12293" width="11.85546875" style="5" bestFit="1" customWidth="1"/>
    <col min="12294" max="12294" width="18.85546875" style="5" customWidth="1"/>
    <col min="12295" max="12296" width="14.85546875" style="5" bestFit="1" customWidth="1"/>
    <col min="12297" max="12297" width="17.5703125" style="5" bestFit="1" customWidth="1"/>
    <col min="12298" max="12298" width="11.5703125" style="5" customWidth="1"/>
    <col min="12299" max="12299" width="8.85546875" style="5"/>
    <col min="12300" max="12300" width="17.42578125" style="5" bestFit="1" customWidth="1"/>
    <col min="12301" max="12301" width="8.85546875" style="5"/>
    <col min="12302" max="12302" width="7.140625" style="5" bestFit="1" customWidth="1"/>
    <col min="12303" max="12545" width="8.85546875" style="5"/>
    <col min="12546" max="12546" width="30.5703125" style="5" customWidth="1"/>
    <col min="12547" max="12547" width="14.85546875" style="5" bestFit="1" customWidth="1"/>
    <col min="12548" max="12548" width="20.42578125" style="5" bestFit="1" customWidth="1"/>
    <col min="12549" max="12549" width="11.85546875" style="5" bestFit="1" customWidth="1"/>
    <col min="12550" max="12550" width="18.85546875" style="5" customWidth="1"/>
    <col min="12551" max="12552" width="14.85546875" style="5" bestFit="1" customWidth="1"/>
    <col min="12553" max="12553" width="17.5703125" style="5" bestFit="1" customWidth="1"/>
    <col min="12554" max="12554" width="11.5703125" style="5" customWidth="1"/>
    <col min="12555" max="12555" width="8.85546875" style="5"/>
    <col min="12556" max="12556" width="17.42578125" style="5" bestFit="1" customWidth="1"/>
    <col min="12557" max="12557" width="8.85546875" style="5"/>
    <col min="12558" max="12558" width="7.140625" style="5" bestFit="1" customWidth="1"/>
    <col min="12559" max="12801" width="8.85546875" style="5"/>
    <col min="12802" max="12802" width="30.5703125" style="5" customWidth="1"/>
    <col min="12803" max="12803" width="14.85546875" style="5" bestFit="1" customWidth="1"/>
    <col min="12804" max="12804" width="20.42578125" style="5" bestFit="1" customWidth="1"/>
    <col min="12805" max="12805" width="11.85546875" style="5" bestFit="1" customWidth="1"/>
    <col min="12806" max="12806" width="18.85546875" style="5" customWidth="1"/>
    <col min="12807" max="12808" width="14.85546875" style="5" bestFit="1" customWidth="1"/>
    <col min="12809" max="12809" width="17.5703125" style="5" bestFit="1" customWidth="1"/>
    <col min="12810" max="12810" width="11.5703125" style="5" customWidth="1"/>
    <col min="12811" max="12811" width="8.85546875" style="5"/>
    <col min="12812" max="12812" width="17.42578125" style="5" bestFit="1" customWidth="1"/>
    <col min="12813" max="12813" width="8.85546875" style="5"/>
    <col min="12814" max="12814" width="7.140625" style="5" bestFit="1" customWidth="1"/>
    <col min="12815" max="13057" width="8.85546875" style="5"/>
    <col min="13058" max="13058" width="30.5703125" style="5" customWidth="1"/>
    <col min="13059" max="13059" width="14.85546875" style="5" bestFit="1" customWidth="1"/>
    <col min="13060" max="13060" width="20.42578125" style="5" bestFit="1" customWidth="1"/>
    <col min="13061" max="13061" width="11.85546875" style="5" bestFit="1" customWidth="1"/>
    <col min="13062" max="13062" width="18.85546875" style="5" customWidth="1"/>
    <col min="13063" max="13064" width="14.85546875" style="5" bestFit="1" customWidth="1"/>
    <col min="13065" max="13065" width="17.5703125" style="5" bestFit="1" customWidth="1"/>
    <col min="13066" max="13066" width="11.5703125" style="5" customWidth="1"/>
    <col min="13067" max="13067" width="8.85546875" style="5"/>
    <col min="13068" max="13068" width="17.42578125" style="5" bestFit="1" customWidth="1"/>
    <col min="13069" max="13069" width="8.85546875" style="5"/>
    <col min="13070" max="13070" width="7.140625" style="5" bestFit="1" customWidth="1"/>
    <col min="13071" max="13313" width="8.85546875" style="5"/>
    <col min="13314" max="13314" width="30.5703125" style="5" customWidth="1"/>
    <col min="13315" max="13315" width="14.85546875" style="5" bestFit="1" customWidth="1"/>
    <col min="13316" max="13316" width="20.42578125" style="5" bestFit="1" customWidth="1"/>
    <col min="13317" max="13317" width="11.85546875" style="5" bestFit="1" customWidth="1"/>
    <col min="13318" max="13318" width="18.85546875" style="5" customWidth="1"/>
    <col min="13319" max="13320" width="14.85546875" style="5" bestFit="1" customWidth="1"/>
    <col min="13321" max="13321" width="17.5703125" style="5" bestFit="1" customWidth="1"/>
    <col min="13322" max="13322" width="11.5703125" style="5" customWidth="1"/>
    <col min="13323" max="13323" width="8.85546875" style="5"/>
    <col min="13324" max="13324" width="17.42578125" style="5" bestFit="1" customWidth="1"/>
    <col min="13325" max="13325" width="8.85546875" style="5"/>
    <col min="13326" max="13326" width="7.140625" style="5" bestFit="1" customWidth="1"/>
    <col min="13327" max="13569" width="8.85546875" style="5"/>
    <col min="13570" max="13570" width="30.5703125" style="5" customWidth="1"/>
    <col min="13571" max="13571" width="14.85546875" style="5" bestFit="1" customWidth="1"/>
    <col min="13572" max="13572" width="20.42578125" style="5" bestFit="1" customWidth="1"/>
    <col min="13573" max="13573" width="11.85546875" style="5" bestFit="1" customWidth="1"/>
    <col min="13574" max="13574" width="18.85546875" style="5" customWidth="1"/>
    <col min="13575" max="13576" width="14.85546875" style="5" bestFit="1" customWidth="1"/>
    <col min="13577" max="13577" width="17.5703125" style="5" bestFit="1" customWidth="1"/>
    <col min="13578" max="13578" width="11.5703125" style="5" customWidth="1"/>
    <col min="13579" max="13579" width="8.85546875" style="5"/>
    <col min="13580" max="13580" width="17.42578125" style="5" bestFit="1" customWidth="1"/>
    <col min="13581" max="13581" width="8.85546875" style="5"/>
    <col min="13582" max="13582" width="7.140625" style="5" bestFit="1" customWidth="1"/>
    <col min="13583" max="13825" width="8.85546875" style="5"/>
    <col min="13826" max="13826" width="30.5703125" style="5" customWidth="1"/>
    <col min="13827" max="13827" width="14.85546875" style="5" bestFit="1" customWidth="1"/>
    <col min="13828" max="13828" width="20.42578125" style="5" bestFit="1" customWidth="1"/>
    <col min="13829" max="13829" width="11.85546875" style="5" bestFit="1" customWidth="1"/>
    <col min="13830" max="13830" width="18.85546875" style="5" customWidth="1"/>
    <col min="13831" max="13832" width="14.85546875" style="5" bestFit="1" customWidth="1"/>
    <col min="13833" max="13833" width="17.5703125" style="5" bestFit="1" customWidth="1"/>
    <col min="13834" max="13834" width="11.5703125" style="5" customWidth="1"/>
    <col min="13835" max="13835" width="8.85546875" style="5"/>
    <col min="13836" max="13836" width="17.42578125" style="5" bestFit="1" customWidth="1"/>
    <col min="13837" max="13837" width="8.85546875" style="5"/>
    <col min="13838" max="13838" width="7.140625" style="5" bestFit="1" customWidth="1"/>
    <col min="13839" max="14081" width="8.85546875" style="5"/>
    <col min="14082" max="14082" width="30.5703125" style="5" customWidth="1"/>
    <col min="14083" max="14083" width="14.85546875" style="5" bestFit="1" customWidth="1"/>
    <col min="14084" max="14084" width="20.42578125" style="5" bestFit="1" customWidth="1"/>
    <col min="14085" max="14085" width="11.85546875" style="5" bestFit="1" customWidth="1"/>
    <col min="14086" max="14086" width="18.85546875" style="5" customWidth="1"/>
    <col min="14087" max="14088" width="14.85546875" style="5" bestFit="1" customWidth="1"/>
    <col min="14089" max="14089" width="17.5703125" style="5" bestFit="1" customWidth="1"/>
    <col min="14090" max="14090" width="11.5703125" style="5" customWidth="1"/>
    <col min="14091" max="14091" width="8.85546875" style="5"/>
    <col min="14092" max="14092" width="17.42578125" style="5" bestFit="1" customWidth="1"/>
    <col min="14093" max="14093" width="8.85546875" style="5"/>
    <col min="14094" max="14094" width="7.140625" style="5" bestFit="1" customWidth="1"/>
    <col min="14095" max="14337" width="8.85546875" style="5"/>
    <col min="14338" max="14338" width="30.5703125" style="5" customWidth="1"/>
    <col min="14339" max="14339" width="14.85546875" style="5" bestFit="1" customWidth="1"/>
    <col min="14340" max="14340" width="20.42578125" style="5" bestFit="1" customWidth="1"/>
    <col min="14341" max="14341" width="11.85546875" style="5" bestFit="1" customWidth="1"/>
    <col min="14342" max="14342" width="18.85546875" style="5" customWidth="1"/>
    <col min="14343" max="14344" width="14.85546875" style="5" bestFit="1" customWidth="1"/>
    <col min="14345" max="14345" width="17.5703125" style="5" bestFit="1" customWidth="1"/>
    <col min="14346" max="14346" width="11.5703125" style="5" customWidth="1"/>
    <col min="14347" max="14347" width="8.85546875" style="5"/>
    <col min="14348" max="14348" width="17.42578125" style="5" bestFit="1" customWidth="1"/>
    <col min="14349" max="14349" width="8.85546875" style="5"/>
    <col min="14350" max="14350" width="7.140625" style="5" bestFit="1" customWidth="1"/>
    <col min="14351" max="14593" width="8.85546875" style="5"/>
    <col min="14594" max="14594" width="30.5703125" style="5" customWidth="1"/>
    <col min="14595" max="14595" width="14.85546875" style="5" bestFit="1" customWidth="1"/>
    <col min="14596" max="14596" width="20.42578125" style="5" bestFit="1" customWidth="1"/>
    <col min="14597" max="14597" width="11.85546875" style="5" bestFit="1" customWidth="1"/>
    <col min="14598" max="14598" width="18.85546875" style="5" customWidth="1"/>
    <col min="14599" max="14600" width="14.85546875" style="5" bestFit="1" customWidth="1"/>
    <col min="14601" max="14601" width="17.5703125" style="5" bestFit="1" customWidth="1"/>
    <col min="14602" max="14602" width="11.5703125" style="5" customWidth="1"/>
    <col min="14603" max="14603" width="8.85546875" style="5"/>
    <col min="14604" max="14604" width="17.42578125" style="5" bestFit="1" customWidth="1"/>
    <col min="14605" max="14605" width="8.85546875" style="5"/>
    <col min="14606" max="14606" width="7.140625" style="5" bestFit="1" customWidth="1"/>
    <col min="14607" max="14849" width="8.85546875" style="5"/>
    <col min="14850" max="14850" width="30.5703125" style="5" customWidth="1"/>
    <col min="14851" max="14851" width="14.85546875" style="5" bestFit="1" customWidth="1"/>
    <col min="14852" max="14852" width="20.42578125" style="5" bestFit="1" customWidth="1"/>
    <col min="14853" max="14853" width="11.85546875" style="5" bestFit="1" customWidth="1"/>
    <col min="14854" max="14854" width="18.85546875" style="5" customWidth="1"/>
    <col min="14855" max="14856" width="14.85546875" style="5" bestFit="1" customWidth="1"/>
    <col min="14857" max="14857" width="17.5703125" style="5" bestFit="1" customWidth="1"/>
    <col min="14858" max="14858" width="11.5703125" style="5" customWidth="1"/>
    <col min="14859" max="14859" width="8.85546875" style="5"/>
    <col min="14860" max="14860" width="17.42578125" style="5" bestFit="1" customWidth="1"/>
    <col min="14861" max="14861" width="8.85546875" style="5"/>
    <col min="14862" max="14862" width="7.140625" style="5" bestFit="1" customWidth="1"/>
    <col min="14863" max="15105" width="8.85546875" style="5"/>
    <col min="15106" max="15106" width="30.5703125" style="5" customWidth="1"/>
    <col min="15107" max="15107" width="14.85546875" style="5" bestFit="1" customWidth="1"/>
    <col min="15108" max="15108" width="20.42578125" style="5" bestFit="1" customWidth="1"/>
    <col min="15109" max="15109" width="11.85546875" style="5" bestFit="1" customWidth="1"/>
    <col min="15110" max="15110" width="18.85546875" style="5" customWidth="1"/>
    <col min="15111" max="15112" width="14.85546875" style="5" bestFit="1" customWidth="1"/>
    <col min="15113" max="15113" width="17.5703125" style="5" bestFit="1" customWidth="1"/>
    <col min="15114" max="15114" width="11.5703125" style="5" customWidth="1"/>
    <col min="15115" max="15115" width="8.85546875" style="5"/>
    <col min="15116" max="15116" width="17.42578125" style="5" bestFit="1" customWidth="1"/>
    <col min="15117" max="15117" width="8.85546875" style="5"/>
    <col min="15118" max="15118" width="7.140625" style="5" bestFit="1" customWidth="1"/>
    <col min="15119" max="15361" width="8.85546875" style="5"/>
    <col min="15362" max="15362" width="30.5703125" style="5" customWidth="1"/>
    <col min="15363" max="15363" width="14.85546875" style="5" bestFit="1" customWidth="1"/>
    <col min="15364" max="15364" width="20.42578125" style="5" bestFit="1" customWidth="1"/>
    <col min="15365" max="15365" width="11.85546875" style="5" bestFit="1" customWidth="1"/>
    <col min="15366" max="15366" width="18.85546875" style="5" customWidth="1"/>
    <col min="15367" max="15368" width="14.85546875" style="5" bestFit="1" customWidth="1"/>
    <col min="15369" max="15369" width="17.5703125" style="5" bestFit="1" customWidth="1"/>
    <col min="15370" max="15370" width="11.5703125" style="5" customWidth="1"/>
    <col min="15371" max="15371" width="8.85546875" style="5"/>
    <col min="15372" max="15372" width="17.42578125" style="5" bestFit="1" customWidth="1"/>
    <col min="15373" max="15373" width="8.85546875" style="5"/>
    <col min="15374" max="15374" width="7.140625" style="5" bestFit="1" customWidth="1"/>
    <col min="15375" max="15617" width="8.85546875" style="5"/>
    <col min="15618" max="15618" width="30.5703125" style="5" customWidth="1"/>
    <col min="15619" max="15619" width="14.85546875" style="5" bestFit="1" customWidth="1"/>
    <col min="15620" max="15620" width="20.42578125" style="5" bestFit="1" customWidth="1"/>
    <col min="15621" max="15621" width="11.85546875" style="5" bestFit="1" customWidth="1"/>
    <col min="15622" max="15622" width="18.85546875" style="5" customWidth="1"/>
    <col min="15623" max="15624" width="14.85546875" style="5" bestFit="1" customWidth="1"/>
    <col min="15625" max="15625" width="17.5703125" style="5" bestFit="1" customWidth="1"/>
    <col min="15626" max="15626" width="11.5703125" style="5" customWidth="1"/>
    <col min="15627" max="15627" width="8.85546875" style="5"/>
    <col min="15628" max="15628" width="17.42578125" style="5" bestFit="1" customWidth="1"/>
    <col min="15629" max="15629" width="8.85546875" style="5"/>
    <col min="15630" max="15630" width="7.140625" style="5" bestFit="1" customWidth="1"/>
    <col min="15631" max="15873" width="8.85546875" style="5"/>
    <col min="15874" max="15874" width="30.5703125" style="5" customWidth="1"/>
    <col min="15875" max="15875" width="14.85546875" style="5" bestFit="1" customWidth="1"/>
    <col min="15876" max="15876" width="20.42578125" style="5" bestFit="1" customWidth="1"/>
    <col min="15877" max="15877" width="11.85546875" style="5" bestFit="1" customWidth="1"/>
    <col min="15878" max="15878" width="18.85546875" style="5" customWidth="1"/>
    <col min="15879" max="15880" width="14.85546875" style="5" bestFit="1" customWidth="1"/>
    <col min="15881" max="15881" width="17.5703125" style="5" bestFit="1" customWidth="1"/>
    <col min="15882" max="15882" width="11.5703125" style="5" customWidth="1"/>
    <col min="15883" max="15883" width="8.85546875" style="5"/>
    <col min="15884" max="15884" width="17.42578125" style="5" bestFit="1" customWidth="1"/>
    <col min="15885" max="15885" width="8.85546875" style="5"/>
    <col min="15886" max="15886" width="7.140625" style="5" bestFit="1" customWidth="1"/>
    <col min="15887" max="16129" width="8.85546875" style="5"/>
    <col min="16130" max="16130" width="30.5703125" style="5" customWidth="1"/>
    <col min="16131" max="16131" width="14.85546875" style="5" bestFit="1" customWidth="1"/>
    <col min="16132" max="16132" width="20.42578125" style="5" bestFit="1" customWidth="1"/>
    <col min="16133" max="16133" width="11.85546875" style="5" bestFit="1" customWidth="1"/>
    <col min="16134" max="16134" width="18.85546875" style="5" customWidth="1"/>
    <col min="16135" max="16136" width="14.85546875" style="5" bestFit="1" customWidth="1"/>
    <col min="16137" max="16137" width="17.5703125" style="5" bestFit="1" customWidth="1"/>
    <col min="16138" max="16138" width="11.5703125" style="5" customWidth="1"/>
    <col min="16139" max="16139" width="8.85546875" style="5"/>
    <col min="16140" max="16140" width="17.42578125" style="5" bestFit="1" customWidth="1"/>
    <col min="16141" max="16141" width="8.85546875" style="5"/>
    <col min="16142" max="16142" width="7.140625" style="5" bestFit="1" customWidth="1"/>
    <col min="16143" max="16384" width="8.85546875" style="5"/>
  </cols>
  <sheetData>
    <row r="1" spans="2:14" x14ac:dyDescent="0.2">
      <c r="B1" s="52" t="s">
        <v>319</v>
      </c>
    </row>
    <row r="2" spans="2:14" x14ac:dyDescent="0.2">
      <c r="B2" s="41" t="str">
        <f>'PepsiCo-IS'!A2</f>
        <v>(in USD million except per Share Data)</v>
      </c>
    </row>
    <row r="3" spans="2:14" x14ac:dyDescent="0.2">
      <c r="C3" s="3"/>
      <c r="D3" s="334">
        <v>1</v>
      </c>
    </row>
    <row r="4" spans="2:14" x14ac:dyDescent="0.2">
      <c r="B4" s="2" t="s">
        <v>18</v>
      </c>
      <c r="C4" s="3"/>
      <c r="D4" s="3"/>
      <c r="E4" s="4"/>
      <c r="F4" s="2" t="s">
        <v>19</v>
      </c>
      <c r="G4" s="3"/>
      <c r="J4" s="6" t="s">
        <v>20</v>
      </c>
    </row>
    <row r="5" spans="2:14" x14ac:dyDescent="0.2">
      <c r="B5" s="7" t="s">
        <v>21</v>
      </c>
      <c r="C5" s="8" t="s">
        <v>22</v>
      </c>
      <c r="D5" s="9" t="s">
        <v>23</v>
      </c>
      <c r="E5" s="4"/>
      <c r="F5" s="7" t="s">
        <v>21</v>
      </c>
      <c r="G5" s="8" t="s">
        <v>22</v>
      </c>
      <c r="H5" s="9" t="s">
        <v>23</v>
      </c>
      <c r="J5" s="7" t="s">
        <v>21</v>
      </c>
      <c r="K5" s="304" t="s">
        <v>24</v>
      </c>
      <c r="L5" s="7" t="s">
        <v>21</v>
      </c>
      <c r="M5" s="9" t="s">
        <v>25</v>
      </c>
      <c r="N5" s="9" t="s">
        <v>23</v>
      </c>
    </row>
    <row r="6" spans="2:14" x14ac:dyDescent="0.2">
      <c r="B6" s="10" t="s">
        <v>26</v>
      </c>
      <c r="C6" s="179" t="s">
        <v>300</v>
      </c>
      <c r="D6" s="178">
        <v>8.9999999999999993E-3</v>
      </c>
      <c r="E6" s="4"/>
      <c r="F6" s="341" t="s">
        <v>27</v>
      </c>
      <c r="G6" s="343" t="s">
        <v>613</v>
      </c>
      <c r="H6" s="345">
        <f>D6+D9+0.98%</f>
        <v>1.8799999999999997E-2</v>
      </c>
      <c r="J6" s="10" t="s">
        <v>28</v>
      </c>
      <c r="K6" s="39">
        <f>D24</f>
        <v>0.18440559254108821</v>
      </c>
      <c r="L6" s="13" t="s">
        <v>29</v>
      </c>
      <c r="M6" s="336">
        <f>H8</f>
        <v>1.3723999999999998E-2</v>
      </c>
      <c r="N6" s="12">
        <f>M6*K6</f>
        <v>2.5307823520338943E-3</v>
      </c>
    </row>
    <row r="7" spans="2:14" ht="13.5" thickBot="1" x14ac:dyDescent="0.25">
      <c r="B7" s="10" t="s">
        <v>30</v>
      </c>
      <c r="C7" s="332" t="str">
        <f>IF(D3=1,B24,B25)</f>
        <v>Bottoms Up beta</v>
      </c>
      <c r="D7" s="333">
        <f>CHOOSE(D3,H24,H25)</f>
        <v>0.86336170989872119</v>
      </c>
      <c r="E7" s="4"/>
      <c r="F7" s="341" t="s">
        <v>31</v>
      </c>
      <c r="G7" s="343" t="s">
        <v>614</v>
      </c>
      <c r="H7" s="346">
        <f>DCF!H11</f>
        <v>0.27</v>
      </c>
      <c r="J7" s="15" t="s">
        <v>32</v>
      </c>
      <c r="K7" s="39">
        <f>E24</f>
        <v>0.81559440745891176</v>
      </c>
      <c r="L7" s="16" t="s">
        <v>33</v>
      </c>
      <c r="M7" s="337">
        <f>D10</f>
        <v>6.0888038764913145E-2</v>
      </c>
      <c r="N7" s="12">
        <f>M7*K7</f>
        <v>4.9659943897804586E-2</v>
      </c>
    </row>
    <row r="8" spans="2:14" ht="13.5" thickBot="1" x14ac:dyDescent="0.25">
      <c r="B8" s="10" t="s">
        <v>34</v>
      </c>
      <c r="C8" s="11" t="s">
        <v>284</v>
      </c>
      <c r="D8" s="336">
        <v>6.0100000000000001E-2</v>
      </c>
      <c r="E8" s="4"/>
      <c r="F8" s="342" t="s">
        <v>35</v>
      </c>
      <c r="G8" s="344"/>
      <c r="H8" s="338">
        <f>H6*(1-H7)</f>
        <v>1.3723999999999998E-2</v>
      </c>
      <c r="J8" s="17" t="s">
        <v>36</v>
      </c>
      <c r="K8" s="18"/>
      <c r="L8" s="18"/>
      <c r="M8" s="18"/>
      <c r="N8" s="347">
        <f>SUM(N6:N7)</f>
        <v>5.2190726249838483E-2</v>
      </c>
    </row>
    <row r="9" spans="2:14" ht="13.5" thickBot="1" x14ac:dyDescent="0.25">
      <c r="B9" s="197" t="s">
        <v>37</v>
      </c>
      <c r="C9" s="11"/>
      <c r="D9" s="263">
        <v>0</v>
      </c>
      <c r="E9" s="4"/>
      <c r="F9" s="20" t="s">
        <v>38</v>
      </c>
      <c r="H9" s="19"/>
      <c r="J9" s="20" t="s">
        <v>38</v>
      </c>
    </row>
    <row r="10" spans="2:14" ht="13.5" thickBot="1" x14ac:dyDescent="0.25">
      <c r="B10" s="340" t="s">
        <v>39</v>
      </c>
      <c r="C10" s="15"/>
      <c r="D10" s="339">
        <f>D6+D7*D8</f>
        <v>6.0888038764913145E-2</v>
      </c>
      <c r="E10" s="4"/>
      <c r="F10" s="20"/>
      <c r="H10" s="19"/>
      <c r="J10" s="20"/>
      <c r="K10" s="43"/>
    </row>
    <row r="11" spans="2:14" x14ac:dyDescent="0.2">
      <c r="B11" s="20" t="s">
        <v>38</v>
      </c>
      <c r="C11" s="10"/>
      <c r="D11" s="19" t="s">
        <v>612</v>
      </c>
      <c r="E11" s="4"/>
    </row>
    <row r="12" spans="2:14" x14ac:dyDescent="0.2">
      <c r="B12" s="20"/>
      <c r="C12" s="10"/>
      <c r="D12" s="19"/>
      <c r="E12" s="4"/>
      <c r="J12" s="37"/>
      <c r="K12" s="37"/>
    </row>
    <row r="13" spans="2:14" x14ac:dyDescent="0.2">
      <c r="B13" s="20"/>
      <c r="C13" s="10"/>
      <c r="D13" s="19"/>
      <c r="E13" s="4"/>
    </row>
    <row r="14" spans="2:14" x14ac:dyDescent="0.2">
      <c r="B14" s="21" t="s">
        <v>40</v>
      </c>
      <c r="E14" s="22"/>
      <c r="H14" s="23"/>
      <c r="I14" s="24"/>
    </row>
    <row r="15" spans="2:14" s="25" customFormat="1" ht="25.5" x14ac:dyDescent="0.2">
      <c r="B15" s="182" t="s">
        <v>21</v>
      </c>
      <c r="C15" s="183" t="s">
        <v>279</v>
      </c>
      <c r="D15" s="184" t="s">
        <v>278</v>
      </c>
      <c r="E15" s="184" t="s">
        <v>280</v>
      </c>
      <c r="F15" s="183" t="s">
        <v>41</v>
      </c>
      <c r="G15" s="183" t="s">
        <v>42</v>
      </c>
      <c r="H15" s="183" t="s">
        <v>43</v>
      </c>
      <c r="I15" s="183" t="s">
        <v>44</v>
      </c>
      <c r="J15" s="5"/>
    </row>
    <row r="16" spans="2:14" s="24" customFormat="1" x14ac:dyDescent="0.2">
      <c r="B16" s="24" t="s">
        <v>45</v>
      </c>
      <c r="J16" s="5"/>
      <c r="K16" s="24" t="s">
        <v>601</v>
      </c>
    </row>
    <row r="17" spans="1:18" x14ac:dyDescent="0.2">
      <c r="B17" s="5" t="str">
        <f>'Beta Calculation'!H5</f>
        <v>Coca Cola</v>
      </c>
      <c r="C17" s="42">
        <f>'Beta Calculation'!I5</f>
        <v>0.90249372201998534</v>
      </c>
      <c r="D17" s="27">
        <f>AVERAGE($C$32:$C$34)/(AVERAGE($C$32:$C$34)+AVERAGE($F$32:$F$34))</f>
        <v>0.20245408150058347</v>
      </c>
      <c r="E17" s="43">
        <f>1-D17</f>
        <v>0.79754591849941647</v>
      </c>
      <c r="F17" s="27">
        <f>AVERAGE($G$32:$G$34)</f>
        <v>0.27</v>
      </c>
      <c r="G17" s="14">
        <f>C17*(E17/(D17*(1-F17)+E17))</f>
        <v>0.76140030638279399</v>
      </c>
      <c r="H17" s="14" t="s">
        <v>66</v>
      </c>
      <c r="I17" s="27">
        <f>'Beta Calculation'!J5</f>
        <v>0.59193543586109743</v>
      </c>
      <c r="J17" s="42"/>
      <c r="K17" s="42" t="s">
        <v>589</v>
      </c>
      <c r="L17" s="5" t="s">
        <v>590</v>
      </c>
    </row>
    <row r="18" spans="1:18" x14ac:dyDescent="0.2">
      <c r="B18" s="5" t="str">
        <f>'Beta Calculation'!H10</f>
        <v>Kraft Heinz</v>
      </c>
      <c r="C18" s="42">
        <f>'Beta Calculation'!I10</f>
        <v>0.79741098709628822</v>
      </c>
      <c r="D18" s="27">
        <f>AVERAGE($C$37:$C$39)/(AVERAGE($C$37:$C$39)+AVERAGE($F$37:$F$39))</f>
        <v>0.38214130154657844</v>
      </c>
      <c r="E18" s="43">
        <f t="shared" ref="E18:E20" si="0">1-D18</f>
        <v>0.61785869845342156</v>
      </c>
      <c r="F18" s="27">
        <f>AVERAGE($G$37:$G$39)</f>
        <v>0.27</v>
      </c>
      <c r="G18" s="14">
        <f t="shared" ref="G18:G20" si="1">C18*(E18/(D18*(1-F18)+E18))</f>
        <v>0.5493703296797966</v>
      </c>
      <c r="H18" s="14"/>
      <c r="I18" s="27">
        <f>'Beta Calculation'!J10</f>
        <v>0.24858799110756985</v>
      </c>
      <c r="J18" s="42"/>
      <c r="K18" s="42" t="s">
        <v>593</v>
      </c>
      <c r="L18" s="5" t="s">
        <v>596</v>
      </c>
      <c r="Q18" s="5" t="s">
        <v>597</v>
      </c>
      <c r="R18" s="5" t="s">
        <v>600</v>
      </c>
    </row>
    <row r="19" spans="1:18" x14ac:dyDescent="0.2">
      <c r="B19" s="5" t="str">
        <f>'Beta Calculation'!H11</f>
        <v>Mondelez</v>
      </c>
      <c r="C19" s="42">
        <f>'Beta Calculation'!I11</f>
        <v>0.75717638324044412</v>
      </c>
      <c r="D19" s="27">
        <f>AVERAGE($C$42:$C$44)/(AVERAGE($C$42:$C$44)+AVERAGE($F$42:$F$44))</f>
        <v>0.2189331023294652</v>
      </c>
      <c r="E19" s="43">
        <f t="shared" si="0"/>
        <v>0.78106689767053483</v>
      </c>
      <c r="F19" s="27">
        <f>AVERAGE($G$42:$G$44)</f>
        <v>0.27</v>
      </c>
      <c r="G19" s="14">
        <f t="shared" si="1"/>
        <v>0.62856085893646463</v>
      </c>
      <c r="H19" s="14"/>
      <c r="I19" s="27">
        <f>'Beta Calculation'!J11</f>
        <v>0.51678726028970667</v>
      </c>
      <c r="J19" s="42"/>
      <c r="K19" s="42" t="s">
        <v>594</v>
      </c>
      <c r="L19" s="5" t="s">
        <v>591</v>
      </c>
    </row>
    <row r="20" spans="1:18" ht="13.5" customHeight="1" x14ac:dyDescent="0.2">
      <c r="B20" s="185" t="str">
        <f>'Beta Calculation'!H12</f>
        <v>Monster Beverage</v>
      </c>
      <c r="C20" s="42">
        <f>'Beta Calculation'!I12</f>
        <v>1.0248663942381186</v>
      </c>
      <c r="D20" s="27">
        <f>AVERAGE($C$47:$C$49)/(AVERAGE($C$47:$C$49)+AVERAGE($F$47:$F$49))</f>
        <v>0</v>
      </c>
      <c r="E20" s="43">
        <f t="shared" si="0"/>
        <v>1</v>
      </c>
      <c r="F20" s="27">
        <f>AVERAGE($G$52:$G$54)</f>
        <v>0.27</v>
      </c>
      <c r="G20" s="14">
        <f t="shared" si="1"/>
        <v>1.0248663942381186</v>
      </c>
      <c r="H20" s="186"/>
      <c r="I20" s="27">
        <f>'Beta Calculation'!J12</f>
        <v>0.48482729008562969</v>
      </c>
      <c r="J20" s="42"/>
      <c r="K20" s="42" t="s">
        <v>595</v>
      </c>
      <c r="L20" s="5" t="s">
        <v>592</v>
      </c>
      <c r="Q20" s="5" t="s">
        <v>597</v>
      </c>
      <c r="R20" s="5" t="s">
        <v>599</v>
      </c>
    </row>
    <row r="21" spans="1:18" ht="13.5" customHeight="1" x14ac:dyDescent="0.2">
      <c r="F21" s="24" t="s">
        <v>282</v>
      </c>
      <c r="G21" s="175">
        <f>AVERAGE(G17:G20)</f>
        <v>0.74104947230929352</v>
      </c>
      <c r="H21" s="27"/>
      <c r="I21" s="27"/>
      <c r="J21" s="42"/>
      <c r="K21" s="42"/>
    </row>
    <row r="22" spans="1:18" ht="13.5" customHeight="1" x14ac:dyDescent="0.2">
      <c r="F22" s="5" t="s">
        <v>598</v>
      </c>
      <c r="G22" s="175"/>
      <c r="H22" s="175"/>
      <c r="I22" s="27"/>
      <c r="J22" s="42"/>
      <c r="K22" s="42"/>
    </row>
    <row r="23" spans="1:18" ht="13.5" customHeight="1" x14ac:dyDescent="0.2">
      <c r="B23" s="24" t="s">
        <v>281</v>
      </c>
      <c r="H23" s="175"/>
      <c r="I23" s="27"/>
      <c r="J23" s="42"/>
      <c r="K23" s="42"/>
    </row>
    <row r="24" spans="1:18" s="24" customFormat="1" x14ac:dyDescent="0.2">
      <c r="A24" s="5">
        <v>1</v>
      </c>
      <c r="B24" s="5" t="s">
        <v>283</v>
      </c>
      <c r="C24" s="42"/>
      <c r="D24" s="176">
        <f>AVERAGE(C52:C54)/(AVERAGE(C52:C54)+AVERAGE(F52:F54))</f>
        <v>0.18440559254108821</v>
      </c>
      <c r="E24" s="43">
        <f>1-D24</f>
        <v>0.81559440745891176</v>
      </c>
      <c r="F24" s="43">
        <f>AVERAGE(G52:G54)</f>
        <v>0.27</v>
      </c>
      <c r="G24" s="175">
        <f>G21</f>
        <v>0.74104947230929352</v>
      </c>
      <c r="H24" s="331">
        <f>G24 * (E24 + D24*(1-F24))/E24</f>
        <v>0.86336170989872119</v>
      </c>
      <c r="I24" s="177"/>
      <c r="J24" s="42"/>
      <c r="K24" s="42"/>
    </row>
    <row r="25" spans="1:18" x14ac:dyDescent="0.2">
      <c r="A25" s="24">
        <v>2</v>
      </c>
      <c r="B25" s="5" t="s">
        <v>46</v>
      </c>
      <c r="C25" s="42">
        <f>'Beta Calculation'!I4</f>
        <v>0.77730819557084008</v>
      </c>
      <c r="D25" s="43">
        <f>D24</f>
        <v>0.18440559254108821</v>
      </c>
      <c r="E25" s="43">
        <f>E24</f>
        <v>0.81559440745891176</v>
      </c>
      <c r="F25" s="43">
        <f>F24</f>
        <v>0.27</v>
      </c>
      <c r="G25" s="5" t="s">
        <v>42</v>
      </c>
      <c r="H25" s="42">
        <f>C25</f>
        <v>0.77730819557084008</v>
      </c>
    </row>
    <row r="29" spans="1:18" x14ac:dyDescent="0.2">
      <c r="B29" s="24" t="s">
        <v>270</v>
      </c>
      <c r="D29" s="365"/>
      <c r="E29" s="365"/>
      <c r="F29" s="365"/>
    </row>
    <row r="30" spans="1:18" x14ac:dyDescent="0.2">
      <c r="C30" s="170" t="s">
        <v>271</v>
      </c>
      <c r="D30" s="366" t="s">
        <v>272</v>
      </c>
      <c r="E30" s="366"/>
      <c r="F30" s="366"/>
    </row>
    <row r="31" spans="1:18" x14ac:dyDescent="0.2">
      <c r="B31" s="24" t="str">
        <f>B17</f>
        <v>Coca Cola</v>
      </c>
      <c r="D31" s="169" t="s">
        <v>64</v>
      </c>
      <c r="E31" s="169" t="s">
        <v>273</v>
      </c>
      <c r="F31" s="169" t="s">
        <v>274</v>
      </c>
      <c r="G31" s="24" t="s">
        <v>277</v>
      </c>
    </row>
    <row r="32" spans="1:18" x14ac:dyDescent="0.2">
      <c r="B32" s="173">
        <v>44008</v>
      </c>
      <c r="C32" s="37">
        <f>9423+5181+37729</f>
        <v>52333</v>
      </c>
      <c r="D32" s="69">
        <v>43.22</v>
      </c>
      <c r="E32" s="172">
        <f>4295438919/10^6</f>
        <v>4295.4389190000002</v>
      </c>
      <c r="F32" s="37">
        <f>D32*E32</f>
        <v>185648.87007917999</v>
      </c>
      <c r="G32" s="28">
        <v>0.27</v>
      </c>
    </row>
    <row r="33" spans="2:7" x14ac:dyDescent="0.2">
      <c r="B33" s="173">
        <v>43644</v>
      </c>
      <c r="C33" s="37">
        <f>13030+2749+29296</f>
        <v>45075</v>
      </c>
      <c r="D33" s="69">
        <v>48.9</v>
      </c>
      <c r="E33" s="172">
        <f>4276027437/10^6</f>
        <v>4276.0274369999997</v>
      </c>
      <c r="F33" s="37">
        <f>D33*E33</f>
        <v>209097.74166929998</v>
      </c>
      <c r="G33" s="28">
        <v>0.27</v>
      </c>
    </row>
    <row r="34" spans="2:7" x14ac:dyDescent="0.2">
      <c r="B34" s="173">
        <v>43280</v>
      </c>
      <c r="C34" s="37">
        <f>14715+4023+28063</f>
        <v>46801</v>
      </c>
      <c r="D34" s="69">
        <v>40.76</v>
      </c>
      <c r="E34" s="172">
        <f>4252922447/10^6</f>
        <v>4252.9224469999999</v>
      </c>
      <c r="F34" s="37">
        <f>D34*E34</f>
        <v>173349.11893971998</v>
      </c>
      <c r="G34" s="28">
        <v>0.27</v>
      </c>
    </row>
    <row r="35" spans="2:7" x14ac:dyDescent="0.2">
      <c r="B35" s="171"/>
      <c r="D35" s="69"/>
      <c r="F35" s="37"/>
    </row>
    <row r="36" spans="2:7" x14ac:dyDescent="0.2">
      <c r="B36" s="24" t="str">
        <f>B18</f>
        <v>Kraft Heinz</v>
      </c>
      <c r="D36" s="69"/>
      <c r="F36" s="37"/>
    </row>
    <row r="37" spans="2:7" x14ac:dyDescent="0.2">
      <c r="B37" s="173">
        <v>44009</v>
      </c>
      <c r="C37" s="37">
        <f>6+757+28097</f>
        <v>28860</v>
      </c>
      <c r="D37" s="69">
        <v>30.9</v>
      </c>
      <c r="E37" s="172">
        <f>1222578592/10^6</f>
        <v>1222.5785920000001</v>
      </c>
      <c r="F37" s="37">
        <f>D37*E37</f>
        <v>37777.678492799998</v>
      </c>
      <c r="G37" s="28">
        <v>0.27</v>
      </c>
    </row>
    <row r="38" spans="2:7" x14ac:dyDescent="0.2">
      <c r="B38" s="173">
        <v>43645</v>
      </c>
      <c r="C38" s="37">
        <f>1+1298+29832</f>
        <v>31131</v>
      </c>
      <c r="D38" s="69">
        <v>31.04</v>
      </c>
      <c r="E38" s="172">
        <f>1219991425/10^6</f>
        <v>1219.9914249999999</v>
      </c>
      <c r="F38" s="37">
        <f>D38*E38</f>
        <v>37868.533831999994</v>
      </c>
      <c r="G38" s="28">
        <v>0.27</v>
      </c>
    </row>
    <row r="39" spans="2:7" x14ac:dyDescent="0.2">
      <c r="B39" s="173">
        <v>43281</v>
      </c>
      <c r="C39" s="37">
        <f>34+2754+31380</f>
        <v>34168</v>
      </c>
      <c r="D39" s="69">
        <v>62.82</v>
      </c>
      <c r="E39" s="172">
        <f>1219248231/10^6</f>
        <v>1219.248231</v>
      </c>
      <c r="F39" s="37">
        <f>D39*E39</f>
        <v>76593.173871420004</v>
      </c>
      <c r="G39" s="28">
        <v>0.27</v>
      </c>
    </row>
    <row r="40" spans="2:7" x14ac:dyDescent="0.2">
      <c r="D40" s="69"/>
      <c r="F40" s="37"/>
    </row>
    <row r="41" spans="2:7" x14ac:dyDescent="0.2">
      <c r="B41" s="24" t="str">
        <f>B19</f>
        <v>Mondelez</v>
      </c>
      <c r="D41" s="69"/>
      <c r="F41" s="37"/>
    </row>
    <row r="42" spans="2:7" x14ac:dyDescent="0.2">
      <c r="B42" s="173">
        <v>44012</v>
      </c>
      <c r="C42" s="37">
        <f>2755+945+16004+479</f>
        <v>20183</v>
      </c>
      <c r="D42" s="69">
        <v>51.13</v>
      </c>
      <c r="E42" s="172">
        <f>1428338344/10^6</f>
        <v>1428.338344</v>
      </c>
      <c r="F42" s="37">
        <f>D42*E42</f>
        <v>73030.939528720002</v>
      </c>
      <c r="G42" s="28">
        <v>0.27</v>
      </c>
    </row>
    <row r="43" spans="2:7" x14ac:dyDescent="0.2">
      <c r="B43" s="173">
        <v>43646</v>
      </c>
      <c r="C43" s="37">
        <f>3780+3675+11764</f>
        <v>19219</v>
      </c>
      <c r="D43" s="69">
        <v>53.9</v>
      </c>
      <c r="E43" s="172">
        <f>1442150501/10^6</f>
        <v>1442.1505010000001</v>
      </c>
      <c r="F43" s="37">
        <f>D43*E43</f>
        <v>77731.912003899997</v>
      </c>
      <c r="G43" s="28">
        <v>0.27</v>
      </c>
    </row>
    <row r="44" spans="2:7" x14ac:dyDescent="0.2">
      <c r="B44" s="173">
        <v>43281</v>
      </c>
      <c r="C44" s="37">
        <f>4074+780+14857</f>
        <v>19711</v>
      </c>
      <c r="D44" s="69">
        <v>41</v>
      </c>
      <c r="E44" s="172">
        <f>1466560999/10^6</f>
        <v>1466.560999</v>
      </c>
      <c r="F44" s="37">
        <f>D44*E44</f>
        <v>60129.000959000005</v>
      </c>
      <c r="G44" s="28">
        <v>0.27</v>
      </c>
    </row>
    <row r="45" spans="2:7" x14ac:dyDescent="0.2">
      <c r="D45" s="69"/>
      <c r="F45" s="37"/>
    </row>
    <row r="46" spans="2:7" x14ac:dyDescent="0.2">
      <c r="B46" s="24" t="str">
        <f>B20</f>
        <v>Monster Beverage</v>
      </c>
      <c r="D46" s="69"/>
      <c r="F46" s="37"/>
    </row>
    <row r="47" spans="2:7" x14ac:dyDescent="0.2">
      <c r="B47" s="173">
        <v>44012</v>
      </c>
      <c r="C47" s="5">
        <v>0</v>
      </c>
      <c r="D47" s="69">
        <v>69.319999999999993</v>
      </c>
      <c r="E47" s="172">
        <f>527396445/10^6</f>
        <v>527.39644499999997</v>
      </c>
      <c r="F47" s="37">
        <f>D47*E47</f>
        <v>36559.121567399998</v>
      </c>
      <c r="G47" s="28">
        <v>0.27</v>
      </c>
    </row>
    <row r="48" spans="2:7" x14ac:dyDescent="0.2">
      <c r="B48" s="173">
        <v>43646</v>
      </c>
      <c r="C48" s="5">
        <v>0</v>
      </c>
      <c r="D48" s="69">
        <v>63.83</v>
      </c>
      <c r="E48" s="172">
        <f>544879342/10^6</f>
        <v>544.87934199999995</v>
      </c>
      <c r="F48" s="37">
        <f>D48*E48</f>
        <v>34779.648399859994</v>
      </c>
      <c r="G48" s="28">
        <v>0.27</v>
      </c>
    </row>
    <row r="49" spans="2:7" x14ac:dyDescent="0.2">
      <c r="B49" s="173">
        <v>43281</v>
      </c>
      <c r="C49" s="5">
        <v>0</v>
      </c>
      <c r="D49" s="69">
        <v>57.3</v>
      </c>
      <c r="E49" s="172">
        <f>552523130/10^6</f>
        <v>552.52313000000004</v>
      </c>
      <c r="F49" s="37">
        <f>D49*E49</f>
        <v>31659.575348999999</v>
      </c>
      <c r="G49" s="28">
        <v>0.27</v>
      </c>
    </row>
    <row r="50" spans="2:7" x14ac:dyDescent="0.2">
      <c r="D50" s="69"/>
      <c r="E50" s="172"/>
      <c r="F50" s="37"/>
    </row>
    <row r="51" spans="2:7" x14ac:dyDescent="0.2">
      <c r="B51" s="24" t="s">
        <v>269</v>
      </c>
      <c r="D51" s="69"/>
      <c r="E51" s="172"/>
      <c r="F51" s="37"/>
    </row>
    <row r="52" spans="2:7" x14ac:dyDescent="0.2">
      <c r="B52" s="173">
        <v>43995</v>
      </c>
      <c r="C52" s="5">
        <f>6607+38371</f>
        <v>44978</v>
      </c>
      <c r="D52" s="69">
        <v>129</v>
      </c>
      <c r="E52" s="172">
        <f>1384632842/10^6</f>
        <v>1384.632842</v>
      </c>
      <c r="F52" s="37">
        <f>D52*E52</f>
        <v>178617.63661799999</v>
      </c>
      <c r="G52" s="28">
        <v>0.27</v>
      </c>
    </row>
    <row r="53" spans="2:7" x14ac:dyDescent="0.2">
      <c r="B53" s="173">
        <v>43631</v>
      </c>
      <c r="C53" s="5">
        <f>3473+27712</f>
        <v>31185</v>
      </c>
      <c r="D53" s="69">
        <v>132.72999999999999</v>
      </c>
      <c r="E53" s="172">
        <f>1398169503/10^6</f>
        <v>1398.1695030000001</v>
      </c>
      <c r="F53" s="37">
        <f>D53*E53</f>
        <v>185579.03813318998</v>
      </c>
      <c r="G53" s="28">
        <v>0.27</v>
      </c>
    </row>
    <row r="54" spans="2:7" x14ac:dyDescent="0.2">
      <c r="B54" s="173">
        <v>43267</v>
      </c>
      <c r="C54" s="5">
        <f>9955+30638</f>
        <v>40593</v>
      </c>
      <c r="D54" s="69">
        <v>107.61</v>
      </c>
      <c r="E54" s="172">
        <f>1414321635/10^6</f>
        <v>1414.321635</v>
      </c>
      <c r="F54" s="37">
        <f>D54*E54</f>
        <v>152195.15114234999</v>
      </c>
      <c r="G54" s="28">
        <v>0.27</v>
      </c>
    </row>
    <row r="55" spans="2:7" x14ac:dyDescent="0.2">
      <c r="F55" s="37"/>
    </row>
    <row r="59" spans="2:7" x14ac:dyDescent="0.2">
      <c r="B59" s="24" t="s">
        <v>604</v>
      </c>
    </row>
    <row r="60" spans="2:7" x14ac:dyDescent="0.2">
      <c r="B60" s="24" t="s">
        <v>603</v>
      </c>
    </row>
    <row r="61" spans="2:7" x14ac:dyDescent="0.2">
      <c r="B61" s="5" t="s">
        <v>602</v>
      </c>
      <c r="C61" s="5" t="s">
        <v>605</v>
      </c>
    </row>
    <row r="62" spans="2:7" x14ac:dyDescent="0.2">
      <c r="B62" s="5" t="s">
        <v>606</v>
      </c>
      <c r="C62" s="5" t="s">
        <v>607</v>
      </c>
    </row>
    <row r="63" spans="2:7" x14ac:dyDescent="0.2">
      <c r="B63" s="5" t="s">
        <v>608</v>
      </c>
      <c r="C63" s="5" t="s">
        <v>609</v>
      </c>
    </row>
    <row r="65" spans="2:7" x14ac:dyDescent="0.2">
      <c r="B65" s="5" t="s">
        <v>610</v>
      </c>
      <c r="C65" s="5" t="s">
        <v>611</v>
      </c>
    </row>
    <row r="66" spans="2:7" x14ac:dyDescent="0.2">
      <c r="G66" s="335"/>
    </row>
  </sheetData>
  <mergeCells count="2">
    <mergeCell ref="D29:F29"/>
    <mergeCell ref="D30:F30"/>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458" r:id="rId4" name="Drop Down 2">
              <controlPr defaultSize="0" autoLine="0" autoPict="0">
                <anchor moveWithCells="1">
                  <from>
                    <xdr:col>1</xdr:col>
                    <xdr:colOff>2019300</xdr:colOff>
                    <xdr:row>1</xdr:row>
                    <xdr:rowOff>133350</xdr:rowOff>
                  </from>
                  <to>
                    <xdr:col>2</xdr:col>
                    <xdr:colOff>971550</xdr:colOff>
                    <xdr:row>2</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B06D-2459-42E4-8FA5-3A00DF6C3FAE}">
  <dimension ref="A1:BD186"/>
  <sheetViews>
    <sheetView zoomScale="87" zoomScaleNormal="30" workbookViewId="0">
      <selection activeCell="V9" sqref="V9"/>
    </sheetView>
  </sheetViews>
  <sheetFormatPr defaultRowHeight="12.75" x14ac:dyDescent="0.2"/>
  <cols>
    <col min="1" max="6" width="9.140625" customWidth="1"/>
  </cols>
  <sheetData>
    <row r="1" spans="1:9" ht="15" customHeight="1" x14ac:dyDescent="0.2">
      <c r="A1" s="438"/>
      <c r="B1" s="438"/>
      <c r="C1" s="438"/>
      <c r="D1" s="438"/>
      <c r="E1" s="438"/>
      <c r="F1" s="438"/>
    </row>
    <row r="2" spans="1:9" ht="15" customHeight="1" x14ac:dyDescent="0.2">
      <c r="A2" s="438"/>
      <c r="B2" s="438"/>
      <c r="C2" s="438"/>
      <c r="D2" s="438"/>
      <c r="E2" s="438"/>
      <c r="F2" s="438"/>
    </row>
    <row r="3" spans="1:9" ht="15" customHeight="1" x14ac:dyDescent="0.2">
      <c r="A3" s="438"/>
      <c r="B3" s="438"/>
      <c r="C3" s="438"/>
      <c r="D3" s="438"/>
      <c r="E3" s="438"/>
      <c r="F3" s="438"/>
    </row>
    <row r="4" spans="1:9" ht="15" customHeight="1" x14ac:dyDescent="0.2">
      <c r="A4" s="438"/>
      <c r="B4" s="438"/>
      <c r="C4" s="439" t="s">
        <v>335</v>
      </c>
      <c r="D4" s="438"/>
      <c r="E4" s="438"/>
      <c r="F4" s="438"/>
      <c r="I4" t="s">
        <v>486</v>
      </c>
    </row>
    <row r="5" spans="1:9" ht="15" customHeight="1" x14ac:dyDescent="0.2">
      <c r="A5" s="438"/>
      <c r="B5" s="438"/>
      <c r="C5" s="438"/>
      <c r="D5" s="438"/>
      <c r="E5" s="438"/>
      <c r="F5" s="438"/>
    </row>
    <row r="6" spans="1:9" ht="15" customHeight="1" x14ac:dyDescent="0.2">
      <c r="A6" s="438"/>
      <c r="B6" s="438"/>
      <c r="C6" s="439" t="s">
        <v>336</v>
      </c>
      <c r="D6" s="438"/>
      <c r="E6" s="438"/>
      <c r="F6" s="438"/>
    </row>
    <row r="7" spans="1:9" ht="15" customHeight="1" x14ac:dyDescent="0.2">
      <c r="A7" s="438"/>
      <c r="B7" s="438"/>
      <c r="C7" s="438"/>
      <c r="D7" s="438" t="s">
        <v>337</v>
      </c>
      <c r="E7" s="438"/>
      <c r="F7" s="438"/>
    </row>
    <row r="8" spans="1:9" ht="15" customHeight="1" x14ac:dyDescent="0.2">
      <c r="A8" s="438"/>
      <c r="B8" s="438"/>
      <c r="C8" s="438"/>
      <c r="D8" s="438" t="s">
        <v>338</v>
      </c>
      <c r="E8" s="438"/>
      <c r="F8" s="438"/>
    </row>
    <row r="9" spans="1:9" ht="15" customHeight="1" x14ac:dyDescent="0.2">
      <c r="A9" s="438"/>
      <c r="B9" s="438"/>
      <c r="C9" s="438"/>
      <c r="D9" s="438"/>
      <c r="E9" s="438"/>
      <c r="F9" s="438"/>
    </row>
    <row r="10" spans="1:9" ht="15" customHeight="1" x14ac:dyDescent="0.2">
      <c r="A10" s="438"/>
      <c r="B10" s="438"/>
      <c r="C10" s="439" t="s">
        <v>339</v>
      </c>
      <c r="D10" s="438"/>
      <c r="E10" s="438"/>
      <c r="F10" s="438"/>
    </row>
    <row r="11" spans="1:9" ht="15" customHeight="1" x14ac:dyDescent="0.2">
      <c r="A11" s="438"/>
      <c r="B11" s="438"/>
      <c r="C11" s="438"/>
      <c r="D11" s="438"/>
      <c r="E11" s="438"/>
      <c r="F11" s="438"/>
    </row>
    <row r="12" spans="1:9" ht="15" customHeight="1" x14ac:dyDescent="0.2">
      <c r="A12" s="438"/>
      <c r="B12" s="438"/>
      <c r="C12" s="439" t="s">
        <v>358</v>
      </c>
      <c r="D12" s="438"/>
      <c r="E12" s="438"/>
      <c r="F12" s="438"/>
    </row>
    <row r="13" spans="1:9" ht="15" customHeight="1" x14ac:dyDescent="0.2">
      <c r="A13" s="438"/>
      <c r="B13" s="438"/>
      <c r="C13" s="438"/>
      <c r="D13" s="438" t="s">
        <v>341</v>
      </c>
      <c r="E13" s="438"/>
      <c r="F13" s="438"/>
    </row>
    <row r="14" spans="1:9" ht="15" customHeight="1" x14ac:dyDescent="0.2">
      <c r="A14" s="438"/>
      <c r="B14" s="438"/>
      <c r="C14" s="438"/>
      <c r="D14" s="438"/>
      <c r="E14" s="438" t="s">
        <v>342</v>
      </c>
      <c r="F14" s="438"/>
    </row>
    <row r="15" spans="1:9" ht="15" customHeight="1" x14ac:dyDescent="0.2">
      <c r="A15" s="438"/>
      <c r="B15" s="438"/>
      <c r="C15" s="438"/>
      <c r="D15" s="438"/>
      <c r="E15" s="438" t="s">
        <v>340</v>
      </c>
      <c r="F15" s="438"/>
    </row>
    <row r="16" spans="1:9" ht="15" customHeight="1" x14ac:dyDescent="0.2">
      <c r="A16" s="438"/>
      <c r="B16" s="438"/>
      <c r="C16" s="438"/>
      <c r="D16" s="438"/>
      <c r="E16" s="438" t="s">
        <v>354</v>
      </c>
      <c r="F16" s="438"/>
    </row>
    <row r="17" spans="1:56" ht="15" customHeight="1" x14ac:dyDescent="0.2">
      <c r="A17" s="438"/>
      <c r="B17" s="438"/>
      <c r="C17" s="438"/>
      <c r="D17" s="438"/>
      <c r="E17" s="438" t="s">
        <v>353</v>
      </c>
      <c r="F17" s="438"/>
      <c r="J17" t="s">
        <v>355</v>
      </c>
    </row>
    <row r="18" spans="1:56" ht="15" customHeight="1" x14ac:dyDescent="0.2">
      <c r="A18" s="438"/>
      <c r="B18" s="438"/>
      <c r="C18" s="438"/>
      <c r="D18" s="438" t="s">
        <v>344</v>
      </c>
      <c r="E18" s="438"/>
      <c r="F18" s="438"/>
    </row>
    <row r="19" spans="1:56" ht="15" customHeight="1" x14ac:dyDescent="0.2">
      <c r="A19" s="438"/>
      <c r="B19" s="438"/>
      <c r="C19" s="438"/>
      <c r="D19" s="438"/>
      <c r="E19" s="438" t="s">
        <v>345</v>
      </c>
      <c r="F19" s="438"/>
      <c r="J19" t="s">
        <v>346</v>
      </c>
    </row>
    <row r="20" spans="1:56" ht="15" customHeight="1" x14ac:dyDescent="0.2">
      <c r="A20" s="438"/>
      <c r="B20" s="438"/>
      <c r="C20" s="438"/>
      <c r="D20" s="438"/>
      <c r="E20" s="438" t="s">
        <v>347</v>
      </c>
      <c r="F20" s="438"/>
    </row>
    <row r="21" spans="1:56" ht="15" customHeight="1" x14ac:dyDescent="0.2">
      <c r="A21" s="438"/>
      <c r="B21" s="438"/>
      <c r="C21" s="438"/>
      <c r="D21" s="438"/>
      <c r="E21" s="438"/>
      <c r="F21" s="438"/>
      <c r="AH21" s="305" t="s">
        <v>528</v>
      </c>
      <c r="AI21" s="305" t="s">
        <v>541</v>
      </c>
      <c r="AL21" t="s">
        <v>529</v>
      </c>
    </row>
    <row r="22" spans="1:56" ht="15" customHeight="1" x14ac:dyDescent="0.2">
      <c r="A22" s="438"/>
      <c r="B22" s="438"/>
      <c r="C22" s="438"/>
      <c r="D22" s="438"/>
      <c r="E22" s="438" t="s">
        <v>348</v>
      </c>
      <c r="F22" s="438"/>
      <c r="J22" t="s">
        <v>349</v>
      </c>
      <c r="U22" t="s">
        <v>352</v>
      </c>
      <c r="Z22" t="s">
        <v>357</v>
      </c>
      <c r="AI22" t="s">
        <v>530</v>
      </c>
      <c r="AR22" t="s">
        <v>533</v>
      </c>
    </row>
    <row r="23" spans="1:56" ht="15" customHeight="1" x14ac:dyDescent="0.2">
      <c r="A23" s="438"/>
      <c r="B23" s="438"/>
      <c r="C23" s="438"/>
      <c r="D23" s="438"/>
      <c r="E23" s="438" t="s">
        <v>356</v>
      </c>
      <c r="F23" s="438"/>
      <c r="AI23">
        <v>1</v>
      </c>
      <c r="AJ23" t="s">
        <v>531</v>
      </c>
      <c r="AS23" s="367" t="s">
        <v>534</v>
      </c>
      <c r="AT23" s="367"/>
      <c r="AU23" s="367"/>
      <c r="AV23" s="367"/>
      <c r="AW23" s="367"/>
      <c r="AX23" s="367"/>
      <c r="AY23" s="367"/>
      <c r="AZ23" s="367"/>
      <c r="BA23" s="367"/>
      <c r="BB23" s="367"/>
      <c r="BC23" s="367"/>
      <c r="BD23" s="367"/>
    </row>
    <row r="24" spans="1:56" ht="15" customHeight="1" x14ac:dyDescent="0.2">
      <c r="A24" s="438"/>
      <c r="B24" s="438"/>
      <c r="C24" s="438"/>
      <c r="D24" s="438"/>
      <c r="E24" s="438"/>
      <c r="F24" s="438"/>
      <c r="AI24">
        <v>2</v>
      </c>
      <c r="AJ24" t="s">
        <v>532</v>
      </c>
      <c r="AS24" s="367"/>
      <c r="AT24" s="367"/>
      <c r="AU24" s="367"/>
      <c r="AV24" s="367"/>
      <c r="AW24" s="367"/>
      <c r="AX24" s="367"/>
      <c r="AY24" s="367"/>
      <c r="AZ24" s="367"/>
      <c r="BA24" s="367"/>
      <c r="BB24" s="367"/>
      <c r="BC24" s="367"/>
      <c r="BD24" s="367"/>
    </row>
    <row r="25" spans="1:56" ht="15" customHeight="1" x14ac:dyDescent="0.2">
      <c r="A25" s="438"/>
      <c r="B25" s="438"/>
      <c r="C25" s="438"/>
      <c r="D25" s="438"/>
      <c r="E25" s="438"/>
      <c r="F25" s="438"/>
      <c r="AI25">
        <v>3</v>
      </c>
      <c r="AJ25" t="s">
        <v>535</v>
      </c>
    </row>
    <row r="26" spans="1:56" ht="15" customHeight="1" x14ac:dyDescent="0.2">
      <c r="A26" s="438"/>
      <c r="B26" s="438"/>
      <c r="C26" s="438"/>
      <c r="D26" s="438"/>
      <c r="E26" s="438"/>
      <c r="F26" s="438"/>
      <c r="AK26" t="s">
        <v>536</v>
      </c>
    </row>
    <row r="27" spans="1:56" ht="15" customHeight="1" x14ac:dyDescent="0.2">
      <c r="A27" s="438"/>
      <c r="B27" s="438"/>
      <c r="C27" s="439" t="s">
        <v>359</v>
      </c>
      <c r="D27" s="438"/>
      <c r="E27" s="438"/>
      <c r="F27" s="438"/>
      <c r="AL27" t="s">
        <v>537</v>
      </c>
    </row>
    <row r="28" spans="1:56" ht="15" customHeight="1" x14ac:dyDescent="0.2">
      <c r="A28" s="438"/>
      <c r="B28" s="438"/>
      <c r="C28" s="438"/>
      <c r="D28" s="438"/>
      <c r="E28" s="438"/>
      <c r="F28" s="438"/>
      <c r="AL28" t="s">
        <v>538</v>
      </c>
    </row>
    <row r="29" spans="1:56" ht="15" customHeight="1" x14ac:dyDescent="0.2">
      <c r="A29" s="438"/>
      <c r="B29" s="438"/>
      <c r="C29" s="439" t="s">
        <v>360</v>
      </c>
      <c r="D29" s="438"/>
      <c r="E29" s="438"/>
      <c r="F29" s="438"/>
    </row>
    <row r="30" spans="1:56" ht="15" customHeight="1" x14ac:dyDescent="0.2">
      <c r="A30" s="438"/>
      <c r="B30" s="438"/>
      <c r="C30" s="438"/>
      <c r="D30" s="438" t="s">
        <v>364</v>
      </c>
      <c r="E30" s="438"/>
      <c r="F30" s="438"/>
      <c r="M30" t="s">
        <v>394</v>
      </c>
    </row>
    <row r="31" spans="1:56" ht="15" customHeight="1" x14ac:dyDescent="0.2">
      <c r="A31" s="438"/>
      <c r="B31" s="438"/>
      <c r="C31" s="438"/>
      <c r="D31" s="438"/>
      <c r="E31" s="438" t="s">
        <v>361</v>
      </c>
      <c r="F31" s="438"/>
    </row>
    <row r="32" spans="1:56" ht="15" customHeight="1" x14ac:dyDescent="0.2">
      <c r="A32" s="438"/>
      <c r="B32" s="438"/>
      <c r="C32" s="438"/>
      <c r="D32" s="438"/>
      <c r="E32" s="438" t="s">
        <v>365</v>
      </c>
      <c r="F32" s="438"/>
      <c r="AH32" s="305" t="s">
        <v>539</v>
      </c>
      <c r="AI32" s="305" t="s">
        <v>540</v>
      </c>
    </row>
    <row r="33" spans="1:46" ht="15" customHeight="1" x14ac:dyDescent="0.2">
      <c r="A33" s="438"/>
      <c r="B33" s="438"/>
      <c r="C33" s="438"/>
      <c r="D33" s="438"/>
      <c r="E33" s="438" t="s">
        <v>366</v>
      </c>
      <c r="F33" s="438"/>
      <c r="AI33" t="s">
        <v>542</v>
      </c>
      <c r="AP33" t="s">
        <v>544</v>
      </c>
    </row>
    <row r="34" spans="1:46" ht="15" customHeight="1" x14ac:dyDescent="0.2">
      <c r="A34" s="438"/>
      <c r="B34" s="438"/>
      <c r="C34" s="438"/>
      <c r="D34" s="438"/>
      <c r="E34" s="438" t="s">
        <v>367</v>
      </c>
      <c r="F34" s="438"/>
      <c r="J34" t="s">
        <v>368</v>
      </c>
      <c r="AI34" t="s">
        <v>543</v>
      </c>
    </row>
    <row r="35" spans="1:46" ht="15" customHeight="1" x14ac:dyDescent="0.2">
      <c r="A35" s="438"/>
      <c r="B35" s="438"/>
      <c r="C35" s="438"/>
      <c r="D35" s="438"/>
      <c r="E35" s="438"/>
      <c r="F35" s="438"/>
    </row>
    <row r="36" spans="1:46" ht="15" customHeight="1" x14ac:dyDescent="0.2">
      <c r="A36" s="438"/>
      <c r="B36" s="438"/>
      <c r="C36" s="438"/>
      <c r="D36" s="438"/>
      <c r="E36" s="438"/>
      <c r="F36" s="438"/>
    </row>
    <row r="37" spans="1:46" ht="15" customHeight="1" x14ac:dyDescent="0.2">
      <c r="A37" s="438"/>
      <c r="B37" s="438"/>
      <c r="C37" s="438"/>
      <c r="D37" s="438"/>
      <c r="E37" s="438" t="s">
        <v>373</v>
      </c>
      <c r="F37" s="438"/>
      <c r="AH37" s="305" t="s">
        <v>545</v>
      </c>
      <c r="AI37" s="305" t="s">
        <v>546</v>
      </c>
    </row>
    <row r="38" spans="1:46" ht="15" customHeight="1" x14ac:dyDescent="0.2">
      <c r="A38" s="438"/>
      <c r="B38" s="438"/>
      <c r="C38" s="438"/>
      <c r="D38" s="438"/>
      <c r="E38" s="438"/>
      <c r="F38" s="438" t="s">
        <v>375</v>
      </c>
      <c r="AI38" t="s">
        <v>547</v>
      </c>
    </row>
    <row r="39" spans="1:46" ht="15" customHeight="1" x14ac:dyDescent="0.2">
      <c r="A39" s="438"/>
      <c r="B39" s="438"/>
      <c r="C39" s="438"/>
      <c r="D39" s="438"/>
      <c r="E39" s="438"/>
      <c r="F39" s="438" t="s">
        <v>374</v>
      </c>
      <c r="N39" t="s">
        <v>381</v>
      </c>
      <c r="AI39" t="s">
        <v>548</v>
      </c>
      <c r="AO39" t="s">
        <v>549</v>
      </c>
      <c r="AT39" t="s">
        <v>550</v>
      </c>
    </row>
    <row r="40" spans="1:46" ht="15" customHeight="1" x14ac:dyDescent="0.2">
      <c r="A40" s="438"/>
      <c r="B40" s="438"/>
      <c r="C40" s="438"/>
      <c r="D40" s="438"/>
      <c r="E40" s="438"/>
      <c r="F40" s="438"/>
      <c r="AI40" t="s">
        <v>552</v>
      </c>
      <c r="AM40" t="s">
        <v>551</v>
      </c>
    </row>
    <row r="41" spans="1:46" ht="15" customHeight="1" x14ac:dyDescent="0.2">
      <c r="A41" s="438"/>
      <c r="B41" s="438"/>
      <c r="C41" s="438"/>
      <c r="D41" s="438"/>
      <c r="E41" s="438"/>
      <c r="F41" s="438" t="s">
        <v>376</v>
      </c>
    </row>
    <row r="42" spans="1:46" ht="15" customHeight="1" x14ac:dyDescent="0.2">
      <c r="A42" s="438"/>
      <c r="B42" s="438"/>
      <c r="C42" s="438"/>
      <c r="D42" s="438"/>
      <c r="E42" s="438"/>
      <c r="F42" s="438" t="s">
        <v>380</v>
      </c>
      <c r="M42" t="s">
        <v>387</v>
      </c>
      <c r="AI42" t="s">
        <v>553</v>
      </c>
      <c r="AO42" t="s">
        <v>554</v>
      </c>
    </row>
    <row r="43" spans="1:46" ht="15" customHeight="1" x14ac:dyDescent="0.2">
      <c r="A43" s="438"/>
      <c r="B43" s="438"/>
      <c r="C43" s="438"/>
      <c r="D43" s="438"/>
      <c r="E43" s="438"/>
      <c r="F43" s="438" t="s">
        <v>384</v>
      </c>
      <c r="M43" t="s">
        <v>385</v>
      </c>
    </row>
    <row r="44" spans="1:46" ht="15" customHeight="1" x14ac:dyDescent="0.2">
      <c r="A44" s="438"/>
      <c r="B44" s="438"/>
      <c r="C44" s="438"/>
      <c r="D44" s="438"/>
      <c r="E44" s="438"/>
      <c r="F44" s="438"/>
      <c r="AI44" t="s">
        <v>555</v>
      </c>
      <c r="AP44" t="s">
        <v>556</v>
      </c>
    </row>
    <row r="45" spans="1:46" ht="15" customHeight="1" x14ac:dyDescent="0.2">
      <c r="A45" s="438"/>
      <c r="B45" s="438"/>
      <c r="C45" s="438"/>
      <c r="D45" s="438"/>
      <c r="E45" s="438"/>
      <c r="F45" s="438" t="s">
        <v>388</v>
      </c>
    </row>
    <row r="46" spans="1:46" ht="15" customHeight="1" x14ac:dyDescent="0.2">
      <c r="A46" s="438"/>
      <c r="B46" s="438"/>
      <c r="C46" s="438"/>
      <c r="D46" s="438"/>
      <c r="E46" s="438"/>
      <c r="F46" s="438"/>
    </row>
    <row r="47" spans="1:46" ht="15" customHeight="1" x14ac:dyDescent="0.2">
      <c r="A47" s="438"/>
      <c r="B47" s="438"/>
      <c r="C47" s="438"/>
      <c r="D47" s="438" t="s">
        <v>389</v>
      </c>
      <c r="E47" s="438"/>
      <c r="F47" s="438"/>
      <c r="AH47" s="305" t="s">
        <v>557</v>
      </c>
    </row>
    <row r="48" spans="1:46" ht="15" customHeight="1" x14ac:dyDescent="0.2">
      <c r="A48" s="438"/>
      <c r="B48" s="438"/>
      <c r="C48" s="438"/>
      <c r="D48" s="438"/>
      <c r="E48" s="438" t="s">
        <v>390</v>
      </c>
      <c r="F48" s="438"/>
      <c r="AI48" t="s">
        <v>558</v>
      </c>
      <c r="AQ48" t="s">
        <v>560</v>
      </c>
    </row>
    <row r="49" spans="1:51" ht="15" customHeight="1" x14ac:dyDescent="0.2">
      <c r="A49" s="438"/>
      <c r="B49" s="438"/>
      <c r="C49" s="438"/>
      <c r="D49" s="438"/>
      <c r="E49" s="438" t="s">
        <v>391</v>
      </c>
      <c r="F49" s="438"/>
      <c r="S49" t="s">
        <v>392</v>
      </c>
      <c r="AI49" t="s">
        <v>559</v>
      </c>
    </row>
    <row r="50" spans="1:51" ht="15" customHeight="1" x14ac:dyDescent="0.2">
      <c r="A50" s="438"/>
      <c r="B50" s="438"/>
      <c r="C50" s="438"/>
      <c r="D50" s="438"/>
      <c r="E50" s="438"/>
      <c r="F50" s="438"/>
    </row>
    <row r="51" spans="1:51" ht="15" customHeight="1" x14ac:dyDescent="0.2">
      <c r="A51" s="438"/>
      <c r="B51" s="438"/>
      <c r="C51" s="438"/>
      <c r="D51" s="438"/>
      <c r="E51" s="438"/>
      <c r="F51" s="438"/>
      <c r="AI51" t="s">
        <v>561</v>
      </c>
    </row>
    <row r="52" spans="1:51" ht="15" customHeight="1" x14ac:dyDescent="0.2">
      <c r="A52" s="438"/>
      <c r="B52" s="438"/>
      <c r="C52" s="438"/>
      <c r="D52" s="438"/>
      <c r="E52" s="438"/>
      <c r="F52" s="438"/>
    </row>
    <row r="53" spans="1:51" ht="15" customHeight="1" x14ac:dyDescent="0.2">
      <c r="A53" s="438"/>
      <c r="B53" s="438"/>
      <c r="C53" s="438"/>
      <c r="D53" s="438"/>
      <c r="E53" s="438"/>
      <c r="F53" s="438"/>
      <c r="AI53" t="s">
        <v>562</v>
      </c>
    </row>
    <row r="54" spans="1:51" ht="15" customHeight="1" x14ac:dyDescent="0.2">
      <c r="A54" s="438"/>
      <c r="B54" s="438"/>
      <c r="C54" s="438"/>
      <c r="D54" s="438" t="s">
        <v>393</v>
      </c>
      <c r="E54" s="438"/>
      <c r="F54" s="438"/>
      <c r="AJ54" t="s">
        <v>563</v>
      </c>
    </row>
    <row r="55" spans="1:51" ht="15" customHeight="1" x14ac:dyDescent="0.2">
      <c r="A55" s="438"/>
      <c r="B55" s="438"/>
      <c r="C55" s="438"/>
      <c r="D55" s="438"/>
      <c r="E55" s="438" t="s">
        <v>395</v>
      </c>
      <c r="F55" s="438"/>
    </row>
    <row r="56" spans="1:51" ht="15" customHeight="1" x14ac:dyDescent="0.2">
      <c r="A56" s="438"/>
      <c r="B56" s="438"/>
      <c r="C56" s="438"/>
      <c r="D56" s="438"/>
      <c r="E56" s="438"/>
      <c r="F56" s="438" t="s">
        <v>157</v>
      </c>
    </row>
    <row r="57" spans="1:51" ht="15" customHeight="1" x14ac:dyDescent="0.2">
      <c r="A57" s="438"/>
      <c r="B57" s="438"/>
      <c r="C57" s="438"/>
      <c r="D57" s="438"/>
      <c r="E57" s="438"/>
      <c r="F57" s="438"/>
      <c r="G57" t="s">
        <v>401</v>
      </c>
      <c r="AH57" s="305" t="s">
        <v>30</v>
      </c>
    </row>
    <row r="58" spans="1:51" ht="15" customHeight="1" x14ac:dyDescent="0.2">
      <c r="A58" s="438"/>
      <c r="B58" s="438"/>
      <c r="C58" s="438"/>
      <c r="D58" s="438"/>
      <c r="E58" s="438"/>
      <c r="F58" s="438"/>
      <c r="G58" t="s">
        <v>402</v>
      </c>
      <c r="AI58" t="s">
        <v>564</v>
      </c>
    </row>
    <row r="59" spans="1:51" ht="15" customHeight="1" x14ac:dyDescent="0.2">
      <c r="A59" s="438"/>
      <c r="B59" s="438"/>
      <c r="C59" s="438"/>
      <c r="D59" s="438"/>
      <c r="E59" s="438"/>
      <c r="F59" s="438"/>
      <c r="AI59" t="s">
        <v>565</v>
      </c>
      <c r="AY59" t="s">
        <v>586</v>
      </c>
    </row>
    <row r="60" spans="1:51" ht="15" customHeight="1" x14ac:dyDescent="0.2">
      <c r="A60" s="438"/>
      <c r="B60" s="438"/>
      <c r="C60" s="438"/>
      <c r="D60" s="438"/>
      <c r="E60" s="438"/>
      <c r="F60" s="438" t="s">
        <v>396</v>
      </c>
      <c r="I60" t="s">
        <v>397</v>
      </c>
      <c r="AH60" s="306" t="s">
        <v>566</v>
      </c>
    </row>
    <row r="61" spans="1:51" ht="15" customHeight="1" x14ac:dyDescent="0.2">
      <c r="A61" s="438"/>
      <c r="B61" s="438"/>
      <c r="C61" s="438"/>
      <c r="D61" s="438"/>
      <c r="E61" s="438"/>
      <c r="F61" s="438"/>
      <c r="G61" t="s">
        <v>399</v>
      </c>
      <c r="AH61">
        <v>1</v>
      </c>
      <c r="AI61" t="s">
        <v>584</v>
      </c>
    </row>
    <row r="62" spans="1:51" ht="15" customHeight="1" x14ac:dyDescent="0.2">
      <c r="A62" s="438"/>
      <c r="B62" s="438"/>
      <c r="C62" s="438"/>
      <c r="D62" s="438"/>
      <c r="E62" s="438"/>
      <c r="F62" s="438"/>
      <c r="G62" t="s">
        <v>398</v>
      </c>
      <c r="AH62">
        <v>2</v>
      </c>
      <c r="AI62" t="s">
        <v>567</v>
      </c>
    </row>
    <row r="63" spans="1:51" ht="15" customHeight="1" x14ac:dyDescent="0.2">
      <c r="A63" s="438"/>
      <c r="B63" s="438"/>
      <c r="C63" s="438"/>
      <c r="D63" s="438"/>
      <c r="E63" s="438"/>
      <c r="F63" s="438"/>
    </row>
    <row r="64" spans="1:51" ht="15" customHeight="1" x14ac:dyDescent="0.2">
      <c r="A64" s="438"/>
      <c r="B64" s="438"/>
      <c r="C64" s="438"/>
      <c r="D64" s="438"/>
      <c r="E64" s="438"/>
      <c r="F64" s="438"/>
    </row>
    <row r="65" spans="1:35" ht="15" customHeight="1" x14ac:dyDescent="0.2">
      <c r="A65" s="438"/>
      <c r="B65" s="438"/>
      <c r="C65" s="438"/>
      <c r="D65" s="438"/>
      <c r="E65" s="438"/>
      <c r="F65" s="438"/>
    </row>
    <row r="66" spans="1:35" ht="15" customHeight="1" x14ac:dyDescent="0.2">
      <c r="A66" s="438"/>
      <c r="B66" s="438"/>
      <c r="C66" s="438"/>
      <c r="D66" s="438"/>
      <c r="E66" s="438"/>
      <c r="F66" s="438"/>
      <c r="AH66" s="305" t="s">
        <v>568</v>
      </c>
    </row>
    <row r="67" spans="1:35" ht="15" customHeight="1" x14ac:dyDescent="0.2">
      <c r="A67" s="438"/>
      <c r="B67" s="438"/>
      <c r="C67" s="439" t="s">
        <v>199</v>
      </c>
      <c r="D67" s="438"/>
      <c r="E67" s="438"/>
      <c r="F67" s="438"/>
      <c r="AH67">
        <v>1</v>
      </c>
      <c r="AI67" t="s">
        <v>569</v>
      </c>
    </row>
    <row r="68" spans="1:35" ht="15" customHeight="1" x14ac:dyDescent="0.2">
      <c r="A68" s="438"/>
      <c r="B68" s="438"/>
      <c r="C68" s="438"/>
      <c r="D68" s="438" t="s">
        <v>409</v>
      </c>
      <c r="E68" s="438"/>
      <c r="F68" s="438"/>
      <c r="S68" t="s">
        <v>429</v>
      </c>
      <c r="AH68">
        <v>2</v>
      </c>
      <c r="AI68" t="s">
        <v>570</v>
      </c>
    </row>
    <row r="69" spans="1:35" ht="15" customHeight="1" x14ac:dyDescent="0.2">
      <c r="A69" s="438"/>
      <c r="B69" s="438"/>
      <c r="C69" s="438"/>
      <c r="D69" s="438"/>
      <c r="E69" s="438" t="s">
        <v>404</v>
      </c>
      <c r="F69" s="438"/>
    </row>
    <row r="70" spans="1:35" ht="15" customHeight="1" x14ac:dyDescent="0.2">
      <c r="A70" s="438"/>
      <c r="B70" s="438"/>
      <c r="C70" s="438"/>
      <c r="D70" s="438"/>
      <c r="E70" s="438" t="s">
        <v>405</v>
      </c>
      <c r="F70" s="438"/>
      <c r="AI70" t="s">
        <v>571</v>
      </c>
    </row>
    <row r="71" spans="1:35" ht="15" customHeight="1" x14ac:dyDescent="0.2">
      <c r="A71" s="438"/>
      <c r="B71" s="438"/>
      <c r="C71" s="438"/>
      <c r="D71" s="438"/>
      <c r="E71" s="438" t="s">
        <v>411</v>
      </c>
      <c r="F71" s="438"/>
    </row>
    <row r="72" spans="1:35" ht="15" customHeight="1" x14ac:dyDescent="0.2">
      <c r="A72" s="438"/>
      <c r="B72" s="438"/>
      <c r="C72" s="438"/>
      <c r="D72" s="438"/>
      <c r="E72" s="438" t="s">
        <v>412</v>
      </c>
      <c r="F72" s="438"/>
    </row>
    <row r="73" spans="1:35" ht="15" customHeight="1" x14ac:dyDescent="0.2">
      <c r="A73" s="438"/>
      <c r="B73" s="438"/>
      <c r="C73" s="438"/>
      <c r="D73" s="438"/>
      <c r="E73" s="438"/>
      <c r="F73" s="438"/>
    </row>
    <row r="74" spans="1:35" ht="15" customHeight="1" x14ac:dyDescent="0.2">
      <c r="A74" s="438"/>
      <c r="B74" s="438"/>
      <c r="C74" s="438"/>
      <c r="D74" s="438"/>
      <c r="E74" s="440" t="s">
        <v>413</v>
      </c>
      <c r="F74" s="438"/>
    </row>
    <row r="75" spans="1:35" ht="15" customHeight="1" x14ac:dyDescent="0.2">
      <c r="A75" s="438"/>
      <c r="B75" s="438"/>
      <c r="C75" s="438"/>
      <c r="D75" s="438"/>
      <c r="E75" s="438"/>
      <c r="F75" s="438" t="s">
        <v>430</v>
      </c>
    </row>
    <row r="76" spans="1:35" ht="15" customHeight="1" x14ac:dyDescent="0.2">
      <c r="A76" s="438"/>
      <c r="B76" s="438"/>
      <c r="C76" s="438"/>
      <c r="D76" s="438"/>
      <c r="E76" s="438"/>
      <c r="F76" s="438"/>
      <c r="G76" t="s">
        <v>414</v>
      </c>
      <c r="Q76" t="s">
        <v>419</v>
      </c>
    </row>
    <row r="77" spans="1:35" ht="15" customHeight="1" x14ac:dyDescent="0.2">
      <c r="A77" s="438"/>
      <c r="B77" s="438"/>
      <c r="C77" s="438"/>
      <c r="D77" s="438"/>
      <c r="E77" s="438"/>
      <c r="F77" s="438"/>
      <c r="G77" t="s">
        <v>415</v>
      </c>
    </row>
    <row r="78" spans="1:35" ht="15" customHeight="1" x14ac:dyDescent="0.25">
      <c r="A78" s="438"/>
      <c r="B78" s="438"/>
      <c r="C78" s="438"/>
      <c r="D78" s="438"/>
      <c r="E78" s="438"/>
      <c r="F78" s="438"/>
      <c r="G78" t="s">
        <v>417</v>
      </c>
      <c r="M78" t="s">
        <v>416</v>
      </c>
      <c r="Q78" t="s">
        <v>418</v>
      </c>
      <c r="AH78" s="352" t="s">
        <v>626</v>
      </c>
    </row>
    <row r="79" spans="1:35" ht="15" customHeight="1" x14ac:dyDescent="0.2">
      <c r="A79" s="438"/>
      <c r="B79" s="438"/>
      <c r="C79" s="438"/>
      <c r="D79" s="438"/>
      <c r="E79" s="438"/>
      <c r="F79" s="438"/>
      <c r="G79" t="s">
        <v>421</v>
      </c>
    </row>
    <row r="80" spans="1:35" ht="15" customHeight="1" x14ac:dyDescent="0.2">
      <c r="A80" s="438"/>
      <c r="B80" s="438"/>
      <c r="C80" s="438"/>
      <c r="D80" s="438"/>
      <c r="E80" s="438"/>
      <c r="F80" s="438"/>
      <c r="AI80" t="s">
        <v>627</v>
      </c>
    </row>
    <row r="81" spans="1:39" ht="15" customHeight="1" x14ac:dyDescent="0.2">
      <c r="A81" s="438"/>
      <c r="B81" s="438"/>
      <c r="C81" s="438"/>
      <c r="D81" s="438" t="s">
        <v>420</v>
      </c>
      <c r="E81" s="438"/>
      <c r="F81" s="438"/>
      <c r="AI81" t="s">
        <v>628</v>
      </c>
    </row>
    <row r="82" spans="1:39" ht="15" customHeight="1" x14ac:dyDescent="0.2">
      <c r="A82" s="438"/>
      <c r="B82" s="438"/>
      <c r="C82" s="438"/>
      <c r="D82" s="438"/>
      <c r="E82" s="438" t="s">
        <v>423</v>
      </c>
      <c r="F82" s="438"/>
    </row>
    <row r="83" spans="1:39" ht="15" customHeight="1" x14ac:dyDescent="0.2">
      <c r="A83" s="438"/>
      <c r="B83" s="438"/>
      <c r="C83" s="438"/>
      <c r="D83" s="438"/>
      <c r="E83" s="438"/>
      <c r="F83" s="438" t="s">
        <v>424</v>
      </c>
      <c r="AI83" t="s">
        <v>629</v>
      </c>
    </row>
    <row r="84" spans="1:39" ht="15" customHeight="1" x14ac:dyDescent="0.2">
      <c r="A84" s="438"/>
      <c r="B84" s="438"/>
      <c r="C84" s="438"/>
      <c r="D84" s="438"/>
      <c r="E84" s="438" t="s">
        <v>321</v>
      </c>
      <c r="F84" s="438"/>
      <c r="AJ84" t="s">
        <v>630</v>
      </c>
    </row>
    <row r="85" spans="1:39" ht="15" customHeight="1" x14ac:dyDescent="0.2">
      <c r="A85" s="438"/>
      <c r="B85" s="438"/>
      <c r="C85" s="438"/>
      <c r="D85" s="438"/>
      <c r="E85" s="438"/>
      <c r="F85" s="438" t="s">
        <v>425</v>
      </c>
    </row>
    <row r="86" spans="1:39" ht="15" customHeight="1" x14ac:dyDescent="0.2">
      <c r="A86" s="438"/>
      <c r="B86" s="438"/>
      <c r="C86" s="438"/>
      <c r="D86" s="438"/>
      <c r="E86" s="438"/>
      <c r="F86" s="438"/>
      <c r="AG86" t="s">
        <v>631</v>
      </c>
      <c r="AH86" t="s">
        <v>632</v>
      </c>
    </row>
    <row r="87" spans="1:39" ht="15" customHeight="1" x14ac:dyDescent="0.2">
      <c r="A87" s="438"/>
      <c r="B87" s="438"/>
      <c r="C87" s="438"/>
      <c r="D87" s="438"/>
      <c r="E87" s="438" t="s">
        <v>432</v>
      </c>
      <c r="F87" s="438"/>
      <c r="AG87" t="s">
        <v>633</v>
      </c>
      <c r="AM87" t="s">
        <v>634</v>
      </c>
    </row>
    <row r="88" spans="1:39" ht="15" customHeight="1" x14ac:dyDescent="0.2">
      <c r="A88" s="438"/>
      <c r="B88" s="438"/>
      <c r="C88" s="438"/>
      <c r="D88" s="438"/>
      <c r="E88" s="438"/>
      <c r="F88" s="438"/>
    </row>
    <row r="89" spans="1:39" ht="15" customHeight="1" x14ac:dyDescent="0.2">
      <c r="A89" s="438"/>
      <c r="B89" s="438"/>
      <c r="C89" s="438"/>
      <c r="D89" s="438"/>
      <c r="E89" s="438" t="s">
        <v>422</v>
      </c>
      <c r="F89" s="438"/>
      <c r="AG89" t="s">
        <v>631</v>
      </c>
      <c r="AH89" t="s">
        <v>636</v>
      </c>
    </row>
    <row r="90" spans="1:39" ht="15" customHeight="1" x14ac:dyDescent="0.2">
      <c r="A90" s="438"/>
      <c r="B90" s="438"/>
      <c r="C90" s="438"/>
      <c r="D90" s="438"/>
      <c r="E90" s="438"/>
      <c r="F90" s="438"/>
      <c r="AG90" t="s">
        <v>637</v>
      </c>
    </row>
    <row r="91" spans="1:39" ht="15" customHeight="1" x14ac:dyDescent="0.2">
      <c r="A91" s="438"/>
      <c r="B91" s="438"/>
      <c r="C91" s="438"/>
      <c r="D91" s="438"/>
      <c r="E91" s="438" t="s">
        <v>427</v>
      </c>
      <c r="F91" s="438"/>
      <c r="J91" t="s">
        <v>426</v>
      </c>
    </row>
    <row r="92" spans="1:39" ht="15" customHeight="1" x14ac:dyDescent="0.2">
      <c r="A92" s="438"/>
      <c r="B92" s="438"/>
      <c r="C92" s="438"/>
      <c r="D92" s="438"/>
      <c r="E92" s="438" t="s">
        <v>428</v>
      </c>
      <c r="F92" s="438"/>
      <c r="K92" t="s">
        <v>431</v>
      </c>
    </row>
    <row r="93" spans="1:39" ht="15" customHeight="1" x14ac:dyDescent="0.2">
      <c r="A93" s="438"/>
      <c r="B93" s="438"/>
      <c r="C93" s="438"/>
      <c r="D93" s="438"/>
      <c r="E93" s="438" t="s">
        <v>434</v>
      </c>
      <c r="F93" s="438"/>
    </row>
    <row r="94" spans="1:39" ht="15" customHeight="1" x14ac:dyDescent="0.2">
      <c r="A94" s="438"/>
      <c r="B94" s="438"/>
      <c r="C94" s="438"/>
      <c r="D94" s="438"/>
      <c r="E94" s="438"/>
      <c r="F94" s="438"/>
    </row>
    <row r="95" spans="1:39" ht="15" customHeight="1" x14ac:dyDescent="0.2">
      <c r="A95" s="438"/>
      <c r="B95" s="438"/>
      <c r="C95" s="438"/>
      <c r="D95" s="438"/>
      <c r="E95" s="438"/>
      <c r="F95" s="438"/>
    </row>
    <row r="96" spans="1:39" ht="15" customHeight="1" x14ac:dyDescent="0.2">
      <c r="A96" s="438"/>
      <c r="B96" s="438"/>
      <c r="C96" s="438"/>
      <c r="D96" s="438" t="s">
        <v>436</v>
      </c>
      <c r="E96" s="438"/>
      <c r="F96" s="438"/>
      <c r="P96" t="s">
        <v>227</v>
      </c>
      <c r="R96" t="s">
        <v>437</v>
      </c>
      <c r="T96" t="s">
        <v>439</v>
      </c>
      <c r="X96" t="s">
        <v>451</v>
      </c>
    </row>
    <row r="97" spans="1:20" ht="15" customHeight="1" x14ac:dyDescent="0.2">
      <c r="A97" s="438"/>
      <c r="B97" s="438"/>
      <c r="C97" s="438"/>
      <c r="D97" s="438"/>
      <c r="E97" s="438"/>
      <c r="F97" s="438"/>
      <c r="R97" t="s">
        <v>438</v>
      </c>
      <c r="T97" t="s">
        <v>440</v>
      </c>
    </row>
    <row r="98" spans="1:20" ht="15" customHeight="1" x14ac:dyDescent="0.2">
      <c r="A98" s="438"/>
      <c r="B98" s="438"/>
      <c r="C98" s="438"/>
      <c r="D98" s="438"/>
      <c r="E98" s="438"/>
      <c r="F98" s="438"/>
      <c r="K98" t="s">
        <v>445</v>
      </c>
    </row>
    <row r="99" spans="1:20" ht="15" customHeight="1" x14ac:dyDescent="0.2">
      <c r="A99" s="438"/>
      <c r="B99" s="438"/>
      <c r="C99" s="438"/>
      <c r="D99" s="438"/>
      <c r="E99" s="438" t="s">
        <v>441</v>
      </c>
      <c r="F99" s="438" t="s">
        <v>444</v>
      </c>
      <c r="K99">
        <v>0</v>
      </c>
    </row>
    <row r="100" spans="1:20" ht="15" customHeight="1" x14ac:dyDescent="0.2">
      <c r="A100" s="438"/>
      <c r="B100" s="438"/>
      <c r="C100" s="438"/>
      <c r="D100" s="438"/>
      <c r="E100" s="438" t="s">
        <v>442</v>
      </c>
      <c r="F100" s="438" t="s">
        <v>446</v>
      </c>
      <c r="K100" t="s">
        <v>447</v>
      </c>
    </row>
    <row r="101" spans="1:20" ht="15" customHeight="1" x14ac:dyDescent="0.2">
      <c r="A101" s="438"/>
      <c r="B101" s="438"/>
      <c r="C101" s="438"/>
      <c r="D101" s="438"/>
      <c r="E101" s="438" t="s">
        <v>443</v>
      </c>
      <c r="F101" s="438" t="s">
        <v>448</v>
      </c>
      <c r="K101" t="s">
        <v>449</v>
      </c>
      <c r="P101" t="s">
        <v>450</v>
      </c>
      <c r="S101" t="s">
        <v>468</v>
      </c>
    </row>
    <row r="102" spans="1:20" ht="15" customHeight="1" x14ac:dyDescent="0.2">
      <c r="A102" s="438"/>
      <c r="B102" s="438"/>
      <c r="C102" s="438"/>
      <c r="D102" s="438"/>
      <c r="E102" s="438"/>
      <c r="F102" s="438"/>
    </row>
    <row r="103" spans="1:20" ht="15" customHeight="1" x14ac:dyDescent="0.2">
      <c r="A103" s="438"/>
      <c r="B103" s="438"/>
      <c r="C103" s="438"/>
      <c r="D103" s="438"/>
      <c r="E103" s="438"/>
      <c r="F103" s="438"/>
    </row>
    <row r="104" spans="1:20" ht="15" customHeight="1" x14ac:dyDescent="0.2">
      <c r="A104" s="438"/>
      <c r="B104" s="438"/>
      <c r="C104" s="438"/>
      <c r="D104" s="438"/>
      <c r="E104" s="438"/>
      <c r="F104" s="438"/>
    </row>
    <row r="105" spans="1:20" ht="15" customHeight="1" x14ac:dyDescent="0.2">
      <c r="A105" s="438"/>
      <c r="B105" s="438"/>
      <c r="C105" s="438"/>
      <c r="D105" s="438" t="s">
        <v>453</v>
      </c>
      <c r="E105" s="438"/>
      <c r="F105" s="438"/>
    </row>
    <row r="106" spans="1:20" ht="15" customHeight="1" x14ac:dyDescent="0.2">
      <c r="A106" s="438"/>
      <c r="B106" s="438"/>
      <c r="C106" s="438"/>
      <c r="D106" s="438"/>
      <c r="E106" s="438" t="s">
        <v>454</v>
      </c>
      <c r="F106" s="438"/>
    </row>
    <row r="107" spans="1:20" ht="15" customHeight="1" x14ac:dyDescent="0.2">
      <c r="A107" s="438"/>
      <c r="B107" s="438"/>
      <c r="C107" s="438"/>
      <c r="D107" s="438"/>
      <c r="E107" s="438"/>
      <c r="F107" s="438"/>
    </row>
    <row r="108" spans="1:20" ht="15" customHeight="1" x14ac:dyDescent="0.2">
      <c r="A108" s="438"/>
      <c r="B108" s="438"/>
      <c r="C108" s="438"/>
      <c r="D108" s="438"/>
      <c r="E108" s="438" t="s">
        <v>455</v>
      </c>
      <c r="F108" s="438"/>
      <c r="J108" t="s">
        <v>456</v>
      </c>
    </row>
    <row r="109" spans="1:20" ht="15" customHeight="1" x14ac:dyDescent="0.2">
      <c r="A109" s="438"/>
      <c r="B109" s="438"/>
      <c r="C109" s="438"/>
      <c r="D109" s="438"/>
      <c r="E109" s="438" t="s">
        <v>457</v>
      </c>
      <c r="F109" s="438"/>
    </row>
    <row r="110" spans="1:20" ht="15" customHeight="1" x14ac:dyDescent="0.2">
      <c r="A110" s="438"/>
      <c r="B110" s="438"/>
      <c r="C110" s="438"/>
      <c r="D110" s="438"/>
      <c r="E110" s="438"/>
      <c r="F110" s="438" t="s">
        <v>458</v>
      </c>
    </row>
    <row r="111" spans="1:20" ht="15" customHeight="1" x14ac:dyDescent="0.2">
      <c r="A111" s="438"/>
      <c r="B111" s="438"/>
      <c r="C111" s="438"/>
      <c r="D111" s="438"/>
      <c r="E111" s="438"/>
      <c r="F111" s="438" t="s">
        <v>459</v>
      </c>
    </row>
    <row r="112" spans="1:20" ht="15" customHeight="1" x14ac:dyDescent="0.2">
      <c r="A112" s="438"/>
      <c r="B112" s="438"/>
      <c r="C112" s="438"/>
      <c r="D112" s="438"/>
      <c r="E112" s="438"/>
      <c r="F112" s="438"/>
      <c r="G112" t="s">
        <v>460</v>
      </c>
    </row>
    <row r="113" spans="1:15" ht="15" customHeight="1" x14ac:dyDescent="0.2">
      <c r="A113" s="438"/>
      <c r="B113" s="438"/>
      <c r="C113" s="438"/>
      <c r="D113" s="438"/>
      <c r="E113" s="438"/>
      <c r="F113" s="438"/>
      <c r="G113" t="s">
        <v>461</v>
      </c>
    </row>
    <row r="114" spans="1:15" ht="15" customHeight="1" x14ac:dyDescent="0.2">
      <c r="A114" s="438"/>
      <c r="B114" s="438"/>
      <c r="C114" s="438"/>
      <c r="D114" s="438"/>
      <c r="E114" s="438"/>
      <c r="F114" s="438"/>
    </row>
    <row r="115" spans="1:15" ht="15" customHeight="1" x14ac:dyDescent="0.2">
      <c r="A115" s="438"/>
      <c r="B115" s="438"/>
      <c r="C115" s="438"/>
      <c r="D115" s="438"/>
      <c r="E115" s="438"/>
      <c r="F115" s="438" t="s">
        <v>462</v>
      </c>
    </row>
    <row r="116" spans="1:15" ht="15" customHeight="1" x14ac:dyDescent="0.2">
      <c r="A116" s="438"/>
      <c r="B116" s="438"/>
      <c r="C116" s="438"/>
      <c r="D116" s="438"/>
      <c r="E116" s="438"/>
      <c r="F116" s="438"/>
    </row>
    <row r="117" spans="1:15" ht="15" customHeight="1" x14ac:dyDescent="0.2">
      <c r="A117" s="438"/>
      <c r="B117" s="438"/>
      <c r="C117" s="438"/>
      <c r="D117" s="438"/>
      <c r="E117" s="438"/>
      <c r="F117" s="438"/>
    </row>
    <row r="118" spans="1:15" ht="15" customHeight="1" x14ac:dyDescent="0.2">
      <c r="A118" s="438"/>
      <c r="B118" s="438"/>
      <c r="C118" s="438"/>
      <c r="D118" s="438" t="s">
        <v>465</v>
      </c>
      <c r="E118" s="438"/>
      <c r="F118" s="438"/>
    </row>
    <row r="119" spans="1:15" ht="15" customHeight="1" x14ac:dyDescent="0.2">
      <c r="A119" s="438"/>
      <c r="B119" s="438"/>
      <c r="C119" s="438"/>
      <c r="D119" s="438"/>
      <c r="E119" s="438"/>
      <c r="F119" s="438"/>
    </row>
    <row r="120" spans="1:15" ht="15" customHeight="1" x14ac:dyDescent="0.2">
      <c r="A120" s="438"/>
      <c r="B120" s="438"/>
      <c r="C120" s="438"/>
      <c r="D120" s="438"/>
      <c r="E120" s="438"/>
      <c r="F120" s="438"/>
    </row>
    <row r="121" spans="1:15" ht="15" customHeight="1" x14ac:dyDescent="0.2">
      <c r="A121" s="438"/>
      <c r="B121" s="438"/>
      <c r="C121" s="438"/>
      <c r="D121" s="438" t="s">
        <v>463</v>
      </c>
      <c r="E121" s="438"/>
      <c r="F121" s="438"/>
    </row>
    <row r="122" spans="1:15" ht="15" customHeight="1" x14ac:dyDescent="0.2">
      <c r="A122" s="438"/>
      <c r="B122" s="438"/>
      <c r="C122" s="438"/>
      <c r="D122" s="438"/>
      <c r="E122" s="438" t="s">
        <v>466</v>
      </c>
      <c r="F122" s="438"/>
      <c r="N122" t="s">
        <v>467</v>
      </c>
    </row>
    <row r="123" spans="1:15" ht="15" customHeight="1" x14ac:dyDescent="0.2">
      <c r="A123" s="438"/>
      <c r="B123" s="438"/>
      <c r="C123" s="438"/>
      <c r="D123" s="438"/>
      <c r="E123" s="438" t="s">
        <v>469</v>
      </c>
      <c r="F123" s="438"/>
    </row>
    <row r="124" spans="1:15" ht="15" customHeight="1" x14ac:dyDescent="0.2">
      <c r="A124" s="438"/>
      <c r="B124" s="438"/>
      <c r="C124" s="438"/>
      <c r="D124" s="438"/>
      <c r="E124" s="438"/>
      <c r="F124" s="438"/>
    </row>
    <row r="125" spans="1:15" ht="15" customHeight="1" x14ac:dyDescent="0.2">
      <c r="A125" s="438"/>
      <c r="B125" s="438"/>
      <c r="C125" s="438"/>
      <c r="D125" s="438" t="s">
        <v>464</v>
      </c>
      <c r="E125" s="438"/>
      <c r="F125" s="438"/>
    </row>
    <row r="126" spans="1:15" ht="15" customHeight="1" x14ac:dyDescent="0.2">
      <c r="A126" s="438"/>
      <c r="B126" s="438"/>
      <c r="C126" s="438"/>
      <c r="D126" s="438"/>
      <c r="E126" s="438" t="s">
        <v>471</v>
      </c>
      <c r="F126" s="438"/>
      <c r="K126" t="s">
        <v>472</v>
      </c>
      <c r="O126" t="s">
        <v>473</v>
      </c>
    </row>
    <row r="127" spans="1:15" ht="15" customHeight="1" x14ac:dyDescent="0.2">
      <c r="A127" s="438"/>
      <c r="B127" s="438"/>
      <c r="C127" s="438"/>
      <c r="D127" s="438"/>
      <c r="E127" s="438" t="s">
        <v>470</v>
      </c>
      <c r="F127" s="438"/>
      <c r="K127" t="s">
        <v>474</v>
      </c>
    </row>
    <row r="128" spans="1:15" ht="15" customHeight="1" x14ac:dyDescent="0.2">
      <c r="A128" s="438"/>
      <c r="B128" s="438"/>
      <c r="C128" s="438"/>
      <c r="D128" s="438"/>
      <c r="E128" s="438"/>
      <c r="F128" s="438"/>
    </row>
    <row r="129" spans="1:9" ht="15" customHeight="1" x14ac:dyDescent="0.2">
      <c r="A129" s="438"/>
      <c r="B129" s="438"/>
      <c r="C129" s="438"/>
      <c r="D129" s="438"/>
      <c r="E129" s="438"/>
      <c r="F129" s="438"/>
    </row>
    <row r="130" spans="1:9" ht="15" customHeight="1" x14ac:dyDescent="0.2">
      <c r="A130" s="438"/>
      <c r="B130" s="438"/>
      <c r="C130" s="438"/>
      <c r="D130" s="438" t="s">
        <v>475</v>
      </c>
      <c r="E130" s="438"/>
      <c r="F130" s="438"/>
    </row>
    <row r="131" spans="1:9" ht="15" customHeight="1" x14ac:dyDescent="0.2">
      <c r="A131" s="438"/>
      <c r="B131" s="438"/>
      <c r="C131" s="438"/>
      <c r="D131" s="438"/>
      <c r="E131" s="438" t="s">
        <v>476</v>
      </c>
      <c r="F131" s="438"/>
      <c r="I131" t="s">
        <v>477</v>
      </c>
    </row>
    <row r="132" spans="1:9" ht="15" customHeight="1" x14ac:dyDescent="0.2">
      <c r="A132" s="438"/>
      <c r="B132" s="438"/>
      <c r="C132" s="438"/>
      <c r="D132" s="438"/>
      <c r="E132" s="438"/>
      <c r="F132" s="438"/>
    </row>
    <row r="133" spans="1:9" ht="15" customHeight="1" x14ac:dyDescent="0.2">
      <c r="A133" s="438"/>
      <c r="B133" s="438"/>
      <c r="C133" s="438"/>
      <c r="D133" s="438" t="s">
        <v>478</v>
      </c>
      <c r="E133" s="438"/>
      <c r="F133" s="438"/>
    </row>
    <row r="134" spans="1:9" ht="15" customHeight="1" x14ac:dyDescent="0.2">
      <c r="A134" s="438"/>
      <c r="B134" s="438"/>
      <c r="C134" s="438"/>
      <c r="D134" s="438"/>
      <c r="E134" s="438" t="s">
        <v>479</v>
      </c>
      <c r="F134" s="438"/>
    </row>
    <row r="135" spans="1:9" ht="15" customHeight="1" x14ac:dyDescent="0.2">
      <c r="A135" s="438"/>
      <c r="B135" s="438"/>
      <c r="C135" s="438"/>
      <c r="D135" s="438"/>
      <c r="E135" s="438" t="s">
        <v>480</v>
      </c>
      <c r="F135" s="438"/>
    </row>
    <row r="136" spans="1:9" ht="15" customHeight="1" x14ac:dyDescent="0.2">
      <c r="A136" s="438"/>
      <c r="B136" s="438"/>
      <c r="C136" s="438"/>
      <c r="D136" s="438"/>
      <c r="E136" s="438" t="s">
        <v>481</v>
      </c>
      <c r="F136" s="438"/>
    </row>
    <row r="137" spans="1:9" ht="15" customHeight="1" x14ac:dyDescent="0.2">
      <c r="A137" s="438"/>
      <c r="B137" s="438"/>
      <c r="C137" s="438"/>
      <c r="D137" s="438"/>
      <c r="E137" s="438"/>
      <c r="F137" s="438"/>
    </row>
    <row r="138" spans="1:9" ht="15" customHeight="1" x14ac:dyDescent="0.2">
      <c r="A138" s="438"/>
      <c r="B138" s="438"/>
      <c r="C138" s="438"/>
      <c r="D138" s="438"/>
      <c r="E138" s="438" t="s">
        <v>482</v>
      </c>
      <c r="F138" s="438"/>
    </row>
    <row r="139" spans="1:9" ht="15" customHeight="1" x14ac:dyDescent="0.2">
      <c r="A139" s="438"/>
      <c r="B139" s="438"/>
      <c r="C139" s="438"/>
      <c r="D139" s="438"/>
      <c r="E139" s="438"/>
      <c r="F139" s="438"/>
    </row>
    <row r="140" spans="1:9" ht="15" customHeight="1" x14ac:dyDescent="0.2">
      <c r="A140" s="438"/>
      <c r="B140" s="438"/>
      <c r="C140" s="439" t="s">
        <v>483</v>
      </c>
      <c r="D140" s="438"/>
      <c r="E140" s="438"/>
      <c r="F140" s="438"/>
    </row>
    <row r="141" spans="1:9" ht="15" customHeight="1" x14ac:dyDescent="0.2">
      <c r="A141" s="438"/>
      <c r="B141" s="438"/>
      <c r="C141" s="439"/>
      <c r="D141" s="438" t="s">
        <v>52</v>
      </c>
      <c r="E141" s="438"/>
      <c r="F141" s="438"/>
    </row>
    <row r="142" spans="1:9" ht="15" customHeight="1" x14ac:dyDescent="0.2">
      <c r="A142" s="438"/>
      <c r="B142" s="438"/>
      <c r="C142" s="439"/>
      <c r="D142" s="438"/>
      <c r="E142" s="438" t="s">
        <v>484</v>
      </c>
      <c r="F142" s="438"/>
    </row>
    <row r="143" spans="1:9" ht="15" customHeight="1" x14ac:dyDescent="0.2">
      <c r="A143" s="438"/>
      <c r="B143" s="438"/>
      <c r="C143" s="439"/>
      <c r="D143" s="438"/>
      <c r="E143" s="438" t="s">
        <v>485</v>
      </c>
      <c r="F143" s="438"/>
    </row>
    <row r="144" spans="1:9" ht="15" customHeight="1" x14ac:dyDescent="0.2">
      <c r="A144" s="438"/>
      <c r="B144" s="438"/>
      <c r="C144" s="439"/>
      <c r="D144" s="438"/>
      <c r="E144" s="438" t="s">
        <v>487</v>
      </c>
      <c r="F144" s="438"/>
    </row>
    <row r="145" spans="1:27" ht="15" customHeight="1" x14ac:dyDescent="0.2">
      <c r="A145" s="438"/>
      <c r="B145" s="438"/>
      <c r="C145" s="439"/>
      <c r="D145" s="438"/>
      <c r="E145" s="438"/>
      <c r="F145" s="438"/>
    </row>
    <row r="146" spans="1:27" ht="15" customHeight="1" x14ac:dyDescent="0.2">
      <c r="A146" s="438"/>
      <c r="B146" s="438"/>
      <c r="C146" s="439"/>
      <c r="D146" s="438" t="s">
        <v>57</v>
      </c>
      <c r="E146" s="438"/>
      <c r="F146" s="438"/>
    </row>
    <row r="147" spans="1:27" ht="15" customHeight="1" x14ac:dyDescent="0.2">
      <c r="A147" s="438"/>
      <c r="B147" s="438"/>
      <c r="C147" s="439"/>
      <c r="D147" s="438"/>
      <c r="E147" s="438" t="s">
        <v>512</v>
      </c>
      <c r="F147" s="438"/>
    </row>
    <row r="148" spans="1:27" ht="15" customHeight="1" x14ac:dyDescent="0.2">
      <c r="A148" s="438"/>
      <c r="B148" s="438"/>
      <c r="C148" s="439"/>
      <c r="D148" s="438"/>
      <c r="E148" s="438"/>
      <c r="F148" s="438" t="s">
        <v>489</v>
      </c>
    </row>
    <row r="149" spans="1:27" ht="15" customHeight="1" x14ac:dyDescent="0.2">
      <c r="A149" s="438"/>
      <c r="B149" s="438"/>
      <c r="C149" s="439"/>
      <c r="D149" s="438"/>
      <c r="E149" s="438"/>
      <c r="F149" s="438" t="s">
        <v>490</v>
      </c>
    </row>
    <row r="150" spans="1:27" ht="15" customHeight="1" x14ac:dyDescent="0.2">
      <c r="A150" s="438"/>
      <c r="B150" s="438"/>
      <c r="C150" s="439"/>
      <c r="D150" s="438"/>
      <c r="E150" s="438"/>
      <c r="F150" s="438" t="s">
        <v>496</v>
      </c>
    </row>
    <row r="151" spans="1:27" ht="15" customHeight="1" x14ac:dyDescent="0.2">
      <c r="A151" s="438"/>
      <c r="B151" s="438"/>
      <c r="C151" s="439"/>
      <c r="D151" s="438"/>
      <c r="E151" s="438"/>
      <c r="F151" s="438" t="s">
        <v>499</v>
      </c>
    </row>
    <row r="152" spans="1:27" ht="15" customHeight="1" x14ac:dyDescent="0.2">
      <c r="A152" s="438"/>
      <c r="B152" s="438"/>
      <c r="C152" s="439"/>
      <c r="D152" s="438"/>
      <c r="E152" s="438"/>
      <c r="F152" s="438"/>
    </row>
    <row r="153" spans="1:27" ht="15" customHeight="1" x14ac:dyDescent="0.2">
      <c r="A153" s="438"/>
      <c r="B153" s="438"/>
      <c r="C153" s="439"/>
      <c r="D153" s="438"/>
      <c r="E153" s="438"/>
      <c r="F153" s="438" t="s">
        <v>500</v>
      </c>
    </row>
    <row r="154" spans="1:27" ht="15" customHeight="1" x14ac:dyDescent="0.2">
      <c r="A154" s="438"/>
      <c r="B154" s="438"/>
      <c r="C154" s="439"/>
      <c r="D154" s="438"/>
      <c r="E154" s="438"/>
      <c r="F154" s="438"/>
    </row>
    <row r="155" spans="1:27" ht="15" customHeight="1" x14ac:dyDescent="0.2">
      <c r="A155" s="438"/>
      <c r="B155" s="438"/>
      <c r="C155" s="439"/>
      <c r="D155" s="438"/>
      <c r="E155" s="438"/>
      <c r="F155" s="438"/>
      <c r="G155" t="s">
        <v>501</v>
      </c>
      <c r="H155" t="s">
        <v>508</v>
      </c>
    </row>
    <row r="156" spans="1:27" ht="15" customHeight="1" x14ac:dyDescent="0.2">
      <c r="A156" s="438"/>
      <c r="B156" s="438"/>
      <c r="C156" s="439"/>
      <c r="D156" s="438"/>
      <c r="E156" s="438"/>
      <c r="F156" s="438"/>
      <c r="I156" t="s">
        <v>502</v>
      </c>
      <c r="W156" t="s">
        <v>503</v>
      </c>
      <c r="AA156" t="s">
        <v>504</v>
      </c>
    </row>
    <row r="157" spans="1:27" ht="15" customHeight="1" x14ac:dyDescent="0.2">
      <c r="A157" s="438"/>
      <c r="B157" s="438"/>
      <c r="C157" s="439"/>
      <c r="D157" s="438"/>
      <c r="E157" s="438"/>
      <c r="F157" s="438"/>
      <c r="I157" t="s">
        <v>505</v>
      </c>
    </row>
    <row r="158" spans="1:27" ht="15" customHeight="1" x14ac:dyDescent="0.2">
      <c r="A158" s="438"/>
      <c r="B158" s="438"/>
      <c r="C158" s="439"/>
      <c r="D158" s="438"/>
      <c r="E158" s="438"/>
      <c r="F158" s="438"/>
    </row>
    <row r="159" spans="1:27" ht="15" customHeight="1" x14ac:dyDescent="0.2">
      <c r="A159" s="438"/>
      <c r="B159" s="438"/>
      <c r="C159" s="439"/>
      <c r="D159" s="438"/>
      <c r="E159" s="438"/>
      <c r="F159" s="438"/>
      <c r="I159" t="s">
        <v>506</v>
      </c>
    </row>
    <row r="160" spans="1:27" ht="15" customHeight="1" x14ac:dyDescent="0.2">
      <c r="A160" s="438"/>
      <c r="B160" s="438"/>
      <c r="C160" s="439"/>
      <c r="D160" s="438"/>
      <c r="E160" s="438"/>
      <c r="F160" s="438"/>
      <c r="I160" t="s">
        <v>507</v>
      </c>
    </row>
    <row r="161" spans="1:12" ht="15" customHeight="1" x14ac:dyDescent="0.2">
      <c r="A161" s="438"/>
      <c r="B161" s="438"/>
      <c r="C161" s="439"/>
      <c r="D161" s="438"/>
      <c r="E161" s="438"/>
      <c r="F161" s="438"/>
      <c r="G161" t="s">
        <v>509</v>
      </c>
    </row>
    <row r="162" spans="1:12" ht="15" customHeight="1" x14ac:dyDescent="0.2">
      <c r="A162" s="438"/>
      <c r="B162" s="438"/>
      <c r="C162" s="439"/>
      <c r="D162" s="438"/>
      <c r="E162" s="438"/>
      <c r="F162" s="438"/>
      <c r="H162" t="s">
        <v>510</v>
      </c>
    </row>
    <row r="163" spans="1:12" ht="15" customHeight="1" x14ac:dyDescent="0.2">
      <c r="A163" s="438"/>
      <c r="B163" s="438"/>
      <c r="C163" s="439"/>
      <c r="D163" s="438"/>
      <c r="E163" s="438"/>
      <c r="F163" s="438"/>
    </row>
    <row r="164" spans="1:12" ht="15" customHeight="1" x14ac:dyDescent="0.2">
      <c r="A164" s="438"/>
      <c r="B164" s="438"/>
      <c r="C164" s="439"/>
      <c r="D164" s="438"/>
      <c r="E164" s="438"/>
      <c r="F164" s="438"/>
      <c r="G164" t="s">
        <v>511</v>
      </c>
    </row>
    <row r="165" spans="1:12" ht="15" customHeight="1" x14ac:dyDescent="0.2">
      <c r="A165" s="438"/>
      <c r="B165" s="438"/>
      <c r="C165" s="439"/>
      <c r="D165" s="438"/>
      <c r="E165" s="438"/>
      <c r="F165" s="438"/>
    </row>
    <row r="166" spans="1:12" ht="15" customHeight="1" x14ac:dyDescent="0.2">
      <c r="A166" s="438"/>
      <c r="B166" s="438"/>
      <c r="C166" s="439"/>
      <c r="D166" s="438"/>
      <c r="E166" s="438" t="s">
        <v>513</v>
      </c>
      <c r="F166" s="438"/>
    </row>
    <row r="167" spans="1:12" ht="15" customHeight="1" x14ac:dyDescent="0.2">
      <c r="A167" s="438"/>
      <c r="B167" s="438"/>
      <c r="C167" s="439"/>
      <c r="D167" s="438"/>
      <c r="E167" s="438"/>
      <c r="F167" s="438" t="s">
        <v>514</v>
      </c>
    </row>
    <row r="168" spans="1:12" ht="15" customHeight="1" x14ac:dyDescent="0.2">
      <c r="A168" s="438"/>
      <c r="B168" s="438"/>
      <c r="C168" s="439"/>
      <c r="D168" s="438"/>
      <c r="E168" s="438"/>
      <c r="F168" s="438"/>
    </row>
    <row r="169" spans="1:12" ht="15" customHeight="1" x14ac:dyDescent="0.2">
      <c r="A169" s="438"/>
      <c r="B169" s="438"/>
      <c r="C169" s="439"/>
      <c r="D169" s="438" t="s">
        <v>518</v>
      </c>
      <c r="E169" s="438"/>
      <c r="F169" s="438"/>
    </row>
    <row r="170" spans="1:12" ht="15" customHeight="1" x14ac:dyDescent="0.2">
      <c r="A170" s="438"/>
      <c r="B170" s="438"/>
      <c r="C170" s="439"/>
      <c r="D170" s="438"/>
      <c r="E170" s="438" t="s">
        <v>519</v>
      </c>
      <c r="F170" s="438"/>
    </row>
    <row r="171" spans="1:12" ht="15" customHeight="1" x14ac:dyDescent="0.2">
      <c r="A171" s="438"/>
      <c r="B171" s="438"/>
      <c r="C171" s="439"/>
      <c r="D171" s="438"/>
      <c r="E171" s="438" t="s">
        <v>524</v>
      </c>
      <c r="F171" s="438"/>
    </row>
    <row r="172" spans="1:12" ht="15" customHeight="1" x14ac:dyDescent="0.2">
      <c r="A172" s="438"/>
      <c r="B172" s="438"/>
      <c r="C172" s="439"/>
      <c r="D172" s="438"/>
      <c r="E172" s="438"/>
      <c r="F172" s="438" t="s">
        <v>525</v>
      </c>
    </row>
    <row r="173" spans="1:12" ht="15" customHeight="1" x14ac:dyDescent="0.2">
      <c r="A173" s="438"/>
      <c r="B173" s="438"/>
      <c r="C173" s="439"/>
      <c r="D173" s="438"/>
      <c r="E173" s="438" t="s">
        <v>61</v>
      </c>
      <c r="F173" s="438"/>
    </row>
    <row r="174" spans="1:12" ht="15" customHeight="1" x14ac:dyDescent="0.2">
      <c r="A174" s="438"/>
      <c r="B174" s="438"/>
      <c r="C174" s="439"/>
      <c r="D174" s="438"/>
      <c r="E174" s="438"/>
      <c r="F174" s="438" t="s">
        <v>521</v>
      </c>
    </row>
    <row r="175" spans="1:12" ht="15" customHeight="1" x14ac:dyDescent="0.2">
      <c r="A175" s="438"/>
      <c r="B175" s="438"/>
      <c r="C175" s="439"/>
      <c r="D175" s="438"/>
      <c r="E175" s="438" t="s">
        <v>520</v>
      </c>
      <c r="F175" s="438"/>
    </row>
    <row r="176" spans="1:12" ht="15" customHeight="1" x14ac:dyDescent="0.2">
      <c r="A176" s="438"/>
      <c r="B176" s="438"/>
      <c r="C176" s="439"/>
      <c r="D176" s="438"/>
      <c r="E176" s="438"/>
      <c r="F176" s="438" t="s">
        <v>522</v>
      </c>
      <c r="L176" t="s">
        <v>523</v>
      </c>
    </row>
    <row r="177" spans="1:19" ht="15" customHeight="1" x14ac:dyDescent="0.2">
      <c r="A177" s="438"/>
      <c r="B177" s="438"/>
      <c r="C177" s="438"/>
      <c r="D177" s="438"/>
      <c r="E177" s="438"/>
      <c r="F177" s="438"/>
    </row>
    <row r="178" spans="1:19" ht="15" customHeight="1" x14ac:dyDescent="0.2">
      <c r="A178" s="438"/>
      <c r="B178" s="438"/>
      <c r="C178" s="438"/>
      <c r="D178" s="438"/>
      <c r="E178" s="438"/>
      <c r="F178" s="438"/>
    </row>
    <row r="179" spans="1:19" ht="15" customHeight="1" x14ac:dyDescent="0.2">
      <c r="A179" s="438"/>
      <c r="B179" s="438"/>
      <c r="C179" s="439" t="s">
        <v>526</v>
      </c>
      <c r="D179" s="438"/>
      <c r="E179" s="438"/>
      <c r="F179" s="438"/>
    </row>
    <row r="180" spans="1:19" ht="15" customHeight="1" x14ac:dyDescent="0.2">
      <c r="A180" s="438"/>
      <c r="B180" s="438"/>
      <c r="C180" s="439" t="s">
        <v>527</v>
      </c>
      <c r="D180" s="438"/>
      <c r="E180" s="438"/>
      <c r="F180" s="438"/>
    </row>
    <row r="181" spans="1:19" ht="15" customHeight="1" x14ac:dyDescent="0.2">
      <c r="A181" s="438"/>
      <c r="B181" s="438"/>
      <c r="C181" s="438"/>
      <c r="D181" s="438"/>
      <c r="E181" s="438"/>
      <c r="F181" s="438"/>
    </row>
    <row r="182" spans="1:19" ht="15" customHeight="1" x14ac:dyDescent="0.2">
      <c r="A182" s="438"/>
      <c r="B182" s="438"/>
      <c r="C182" s="438"/>
      <c r="D182" s="438"/>
      <c r="E182" s="438"/>
      <c r="F182" s="438"/>
    </row>
    <row r="183" spans="1:19" ht="15" customHeight="1" x14ac:dyDescent="0.2">
      <c r="A183" s="438"/>
      <c r="B183" s="438"/>
      <c r="C183" s="439" t="s">
        <v>572</v>
      </c>
      <c r="D183" s="438"/>
      <c r="E183" s="438" t="s">
        <v>574</v>
      </c>
      <c r="F183" s="438"/>
    </row>
    <row r="184" spans="1:19" ht="15" customHeight="1" x14ac:dyDescent="0.2">
      <c r="A184" s="438"/>
      <c r="B184" s="438"/>
      <c r="C184" s="438"/>
      <c r="D184" s="438" t="s">
        <v>573</v>
      </c>
      <c r="E184" s="438"/>
      <c r="F184" s="438"/>
    </row>
    <row r="185" spans="1:19" ht="15" customHeight="1" x14ac:dyDescent="0.2">
      <c r="A185" s="438"/>
      <c r="B185" s="438"/>
      <c r="C185" s="438"/>
      <c r="D185" s="438" t="s">
        <v>575</v>
      </c>
      <c r="E185" s="438"/>
      <c r="F185" s="438" t="s">
        <v>576</v>
      </c>
      <c r="I185" t="s">
        <v>577</v>
      </c>
      <c r="O185" t="s">
        <v>578</v>
      </c>
      <c r="Q185" t="s">
        <v>579</v>
      </c>
      <c r="S185" t="s">
        <v>581</v>
      </c>
    </row>
    <row r="186" spans="1:19" ht="15" customHeight="1" x14ac:dyDescent="0.2">
      <c r="A186" s="438"/>
      <c r="B186" s="438"/>
      <c r="C186" s="438"/>
      <c r="D186" s="438" t="s">
        <v>583</v>
      </c>
      <c r="E186" s="438"/>
      <c r="F186" s="438"/>
    </row>
  </sheetData>
  <mergeCells count="1">
    <mergeCell ref="AS23:BD2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U774"/>
  <sheetViews>
    <sheetView showGridLines="0" zoomScale="112" workbookViewId="0">
      <selection activeCell="O7" sqref="O7"/>
    </sheetView>
  </sheetViews>
  <sheetFormatPr defaultColWidth="8.85546875" defaultRowHeight="12.75" x14ac:dyDescent="0.2"/>
  <cols>
    <col min="1" max="1" width="9.5703125" style="5" bestFit="1" customWidth="1"/>
    <col min="2" max="2" width="6.5703125" style="5" bestFit="1" customWidth="1"/>
    <col min="3" max="3" width="8.42578125" style="5" customWidth="1"/>
    <col min="4" max="4" width="8.28515625" style="5" bestFit="1" customWidth="1"/>
    <col min="5" max="5" width="5.85546875" style="5" bestFit="1" customWidth="1"/>
    <col min="6" max="6" width="13" style="5" bestFit="1" customWidth="1"/>
    <col min="7" max="7" width="8.85546875" style="5"/>
    <col min="8" max="8" width="15.42578125" style="5" customWidth="1"/>
    <col min="9" max="9" width="8.85546875" style="5"/>
    <col min="10" max="10" width="9.140625" style="5" bestFit="1" customWidth="1"/>
    <col min="11" max="11" width="13.28515625" style="5" bestFit="1" customWidth="1"/>
    <col min="12" max="252" width="8.85546875" style="5"/>
    <col min="253" max="253" width="14.85546875" style="5" bestFit="1" customWidth="1"/>
    <col min="254" max="254" width="16.42578125" style="5" bestFit="1" customWidth="1"/>
    <col min="255" max="255" width="16.5703125" style="5" bestFit="1" customWidth="1"/>
    <col min="256" max="256" width="13.42578125" style="5" bestFit="1" customWidth="1"/>
    <col min="257" max="258" width="8.85546875" style="5"/>
    <col min="259" max="259" width="11.42578125" style="5" bestFit="1" customWidth="1"/>
    <col min="260" max="261" width="8.85546875" style="5"/>
    <col min="262" max="262" width="11.42578125" style="5" bestFit="1" customWidth="1"/>
    <col min="263" max="264" width="8.85546875" style="5"/>
    <col min="265" max="265" width="11.42578125" style="5" bestFit="1" customWidth="1"/>
    <col min="266" max="508" width="8.85546875" style="5"/>
    <col min="509" max="509" width="14.85546875" style="5" bestFit="1" customWidth="1"/>
    <col min="510" max="510" width="16.42578125" style="5" bestFit="1" customWidth="1"/>
    <col min="511" max="511" width="16.5703125" style="5" bestFit="1" customWidth="1"/>
    <col min="512" max="512" width="13.42578125" style="5" bestFit="1" customWidth="1"/>
    <col min="513" max="514" width="8.85546875" style="5"/>
    <col min="515" max="515" width="11.42578125" style="5" bestFit="1" customWidth="1"/>
    <col min="516" max="517" width="8.85546875" style="5"/>
    <col min="518" max="518" width="11.42578125" style="5" bestFit="1" customWidth="1"/>
    <col min="519" max="520" width="8.85546875" style="5"/>
    <col min="521" max="521" width="11.42578125" style="5" bestFit="1" customWidth="1"/>
    <col min="522" max="764" width="8.85546875" style="5"/>
    <col min="765" max="765" width="14.85546875" style="5" bestFit="1" customWidth="1"/>
    <col min="766" max="766" width="16.42578125" style="5" bestFit="1" customWidth="1"/>
    <col min="767" max="767" width="16.5703125" style="5" bestFit="1" customWidth="1"/>
    <col min="768" max="768" width="13.42578125" style="5" bestFit="1" customWidth="1"/>
    <col min="769" max="770" width="8.85546875" style="5"/>
    <col min="771" max="771" width="11.42578125" style="5" bestFit="1" customWidth="1"/>
    <col min="772" max="773" width="8.85546875" style="5"/>
    <col min="774" max="774" width="11.42578125" style="5" bestFit="1" customWidth="1"/>
    <col min="775" max="776" width="8.85546875" style="5"/>
    <col min="777" max="777" width="11.42578125" style="5" bestFit="1" customWidth="1"/>
    <col min="778" max="1020" width="8.85546875" style="5"/>
    <col min="1021" max="1021" width="14.85546875" style="5" bestFit="1" customWidth="1"/>
    <col min="1022" max="1022" width="16.42578125" style="5" bestFit="1" customWidth="1"/>
    <col min="1023" max="1023" width="16.5703125" style="5" bestFit="1" customWidth="1"/>
    <col min="1024" max="1024" width="13.42578125" style="5" bestFit="1" customWidth="1"/>
    <col min="1025" max="1026" width="8.85546875" style="5"/>
    <col min="1027" max="1027" width="11.42578125" style="5" bestFit="1" customWidth="1"/>
    <col min="1028" max="1029" width="8.85546875" style="5"/>
    <col min="1030" max="1030" width="11.42578125" style="5" bestFit="1" customWidth="1"/>
    <col min="1031" max="1032" width="8.85546875" style="5"/>
    <col min="1033" max="1033" width="11.42578125" style="5" bestFit="1" customWidth="1"/>
    <col min="1034" max="1276" width="8.85546875" style="5"/>
    <col min="1277" max="1277" width="14.85546875" style="5" bestFit="1" customWidth="1"/>
    <col min="1278" max="1278" width="16.42578125" style="5" bestFit="1" customWidth="1"/>
    <col min="1279" max="1279" width="16.5703125" style="5" bestFit="1" customWidth="1"/>
    <col min="1280" max="1280" width="13.42578125" style="5" bestFit="1" customWidth="1"/>
    <col min="1281" max="1282" width="8.85546875" style="5"/>
    <col min="1283" max="1283" width="11.42578125" style="5" bestFit="1" customWidth="1"/>
    <col min="1284" max="1285" width="8.85546875" style="5"/>
    <col min="1286" max="1286" width="11.42578125" style="5" bestFit="1" customWidth="1"/>
    <col min="1287" max="1288" width="8.85546875" style="5"/>
    <col min="1289" max="1289" width="11.42578125" style="5" bestFit="1" customWidth="1"/>
    <col min="1290" max="1532" width="8.85546875" style="5"/>
    <col min="1533" max="1533" width="14.85546875" style="5" bestFit="1" customWidth="1"/>
    <col min="1534" max="1534" width="16.42578125" style="5" bestFit="1" customWidth="1"/>
    <col min="1535" max="1535" width="16.5703125" style="5" bestFit="1" customWidth="1"/>
    <col min="1536" max="1536" width="13.42578125" style="5" bestFit="1" customWidth="1"/>
    <col min="1537" max="1538" width="8.85546875" style="5"/>
    <col min="1539" max="1539" width="11.42578125" style="5" bestFit="1" customWidth="1"/>
    <col min="1540" max="1541" width="8.85546875" style="5"/>
    <col min="1542" max="1542" width="11.42578125" style="5" bestFit="1" customWidth="1"/>
    <col min="1543" max="1544" width="8.85546875" style="5"/>
    <col min="1545" max="1545" width="11.42578125" style="5" bestFit="1" customWidth="1"/>
    <col min="1546" max="1788" width="8.85546875" style="5"/>
    <col min="1789" max="1789" width="14.85546875" style="5" bestFit="1" customWidth="1"/>
    <col min="1790" max="1790" width="16.42578125" style="5" bestFit="1" customWidth="1"/>
    <col min="1791" max="1791" width="16.5703125" style="5" bestFit="1" customWidth="1"/>
    <col min="1792" max="1792" width="13.42578125" style="5" bestFit="1" customWidth="1"/>
    <col min="1793" max="1794" width="8.85546875" style="5"/>
    <col min="1795" max="1795" width="11.42578125" style="5" bestFit="1" customWidth="1"/>
    <col min="1796" max="1797" width="8.85546875" style="5"/>
    <col min="1798" max="1798" width="11.42578125" style="5" bestFit="1" customWidth="1"/>
    <col min="1799" max="1800" width="8.85546875" style="5"/>
    <col min="1801" max="1801" width="11.42578125" style="5" bestFit="1" customWidth="1"/>
    <col min="1802" max="2044" width="8.85546875" style="5"/>
    <col min="2045" max="2045" width="14.85546875" style="5" bestFit="1" customWidth="1"/>
    <col min="2046" max="2046" width="16.42578125" style="5" bestFit="1" customWidth="1"/>
    <col min="2047" max="2047" width="16.5703125" style="5" bestFit="1" customWidth="1"/>
    <col min="2048" max="2048" width="13.42578125" style="5" bestFit="1" customWidth="1"/>
    <col min="2049" max="2050" width="8.85546875" style="5"/>
    <col min="2051" max="2051" width="11.42578125" style="5" bestFit="1" customWidth="1"/>
    <col min="2052" max="2053" width="8.85546875" style="5"/>
    <col min="2054" max="2054" width="11.42578125" style="5" bestFit="1" customWidth="1"/>
    <col min="2055" max="2056" width="8.85546875" style="5"/>
    <col min="2057" max="2057" width="11.42578125" style="5" bestFit="1" customWidth="1"/>
    <col min="2058" max="2300" width="8.85546875" style="5"/>
    <col min="2301" max="2301" width="14.85546875" style="5" bestFit="1" customWidth="1"/>
    <col min="2302" max="2302" width="16.42578125" style="5" bestFit="1" customWidth="1"/>
    <col min="2303" max="2303" width="16.5703125" style="5" bestFit="1" customWidth="1"/>
    <col min="2304" max="2304" width="13.42578125" style="5" bestFit="1" customWidth="1"/>
    <col min="2305" max="2306" width="8.85546875" style="5"/>
    <col min="2307" max="2307" width="11.42578125" style="5" bestFit="1" customWidth="1"/>
    <col min="2308" max="2309" width="8.85546875" style="5"/>
    <col min="2310" max="2310" width="11.42578125" style="5" bestFit="1" customWidth="1"/>
    <col min="2311" max="2312" width="8.85546875" style="5"/>
    <col min="2313" max="2313" width="11.42578125" style="5" bestFit="1" customWidth="1"/>
    <col min="2314" max="2556" width="8.85546875" style="5"/>
    <col min="2557" max="2557" width="14.85546875" style="5" bestFit="1" customWidth="1"/>
    <col min="2558" max="2558" width="16.42578125" style="5" bestFit="1" customWidth="1"/>
    <col min="2559" max="2559" width="16.5703125" style="5" bestFit="1" customWidth="1"/>
    <col min="2560" max="2560" width="13.42578125" style="5" bestFit="1" customWidth="1"/>
    <col min="2561" max="2562" width="8.85546875" style="5"/>
    <col min="2563" max="2563" width="11.42578125" style="5" bestFit="1" customWidth="1"/>
    <col min="2564" max="2565" width="8.85546875" style="5"/>
    <col min="2566" max="2566" width="11.42578125" style="5" bestFit="1" customWidth="1"/>
    <col min="2567" max="2568" width="8.85546875" style="5"/>
    <col min="2569" max="2569" width="11.42578125" style="5" bestFit="1" customWidth="1"/>
    <col min="2570" max="2812" width="8.85546875" style="5"/>
    <col min="2813" max="2813" width="14.85546875" style="5" bestFit="1" customWidth="1"/>
    <col min="2814" max="2814" width="16.42578125" style="5" bestFit="1" customWidth="1"/>
    <col min="2815" max="2815" width="16.5703125" style="5" bestFit="1" customWidth="1"/>
    <col min="2816" max="2816" width="13.42578125" style="5" bestFit="1" customWidth="1"/>
    <col min="2817" max="2818" width="8.85546875" style="5"/>
    <col min="2819" max="2819" width="11.42578125" style="5" bestFit="1" customWidth="1"/>
    <col min="2820" max="2821" width="8.85546875" style="5"/>
    <col min="2822" max="2822" width="11.42578125" style="5" bestFit="1" customWidth="1"/>
    <col min="2823" max="2824" width="8.85546875" style="5"/>
    <col min="2825" max="2825" width="11.42578125" style="5" bestFit="1" customWidth="1"/>
    <col min="2826" max="3068" width="8.85546875" style="5"/>
    <col min="3069" max="3069" width="14.85546875" style="5" bestFit="1" customWidth="1"/>
    <col min="3070" max="3070" width="16.42578125" style="5" bestFit="1" customWidth="1"/>
    <col min="3071" max="3071" width="16.5703125" style="5" bestFit="1" customWidth="1"/>
    <col min="3072" max="3072" width="13.42578125" style="5" bestFit="1" customWidth="1"/>
    <col min="3073" max="3074" width="8.85546875" style="5"/>
    <col min="3075" max="3075" width="11.42578125" style="5" bestFit="1" customWidth="1"/>
    <col min="3076" max="3077" width="8.85546875" style="5"/>
    <col min="3078" max="3078" width="11.42578125" style="5" bestFit="1" customWidth="1"/>
    <col min="3079" max="3080" width="8.85546875" style="5"/>
    <col min="3081" max="3081" width="11.42578125" style="5" bestFit="1" customWidth="1"/>
    <col min="3082" max="3324" width="8.85546875" style="5"/>
    <col min="3325" max="3325" width="14.85546875" style="5" bestFit="1" customWidth="1"/>
    <col min="3326" max="3326" width="16.42578125" style="5" bestFit="1" customWidth="1"/>
    <col min="3327" max="3327" width="16.5703125" style="5" bestFit="1" customWidth="1"/>
    <col min="3328" max="3328" width="13.42578125" style="5" bestFit="1" customWidth="1"/>
    <col min="3329" max="3330" width="8.85546875" style="5"/>
    <col min="3331" max="3331" width="11.42578125" style="5" bestFit="1" customWidth="1"/>
    <col min="3332" max="3333" width="8.85546875" style="5"/>
    <col min="3334" max="3334" width="11.42578125" style="5" bestFit="1" customWidth="1"/>
    <col min="3335" max="3336" width="8.85546875" style="5"/>
    <col min="3337" max="3337" width="11.42578125" style="5" bestFit="1" customWidth="1"/>
    <col min="3338" max="3580" width="8.85546875" style="5"/>
    <col min="3581" max="3581" width="14.85546875" style="5" bestFit="1" customWidth="1"/>
    <col min="3582" max="3582" width="16.42578125" style="5" bestFit="1" customWidth="1"/>
    <col min="3583" max="3583" width="16.5703125" style="5" bestFit="1" customWidth="1"/>
    <col min="3584" max="3584" width="13.42578125" style="5" bestFit="1" customWidth="1"/>
    <col min="3585" max="3586" width="8.85546875" style="5"/>
    <col min="3587" max="3587" width="11.42578125" style="5" bestFit="1" customWidth="1"/>
    <col min="3588" max="3589" width="8.85546875" style="5"/>
    <col min="3590" max="3590" width="11.42578125" style="5" bestFit="1" customWidth="1"/>
    <col min="3591" max="3592" width="8.85546875" style="5"/>
    <col min="3593" max="3593" width="11.42578125" style="5" bestFit="1" customWidth="1"/>
    <col min="3594" max="3836" width="8.85546875" style="5"/>
    <col min="3837" max="3837" width="14.85546875" style="5" bestFit="1" customWidth="1"/>
    <col min="3838" max="3838" width="16.42578125" style="5" bestFit="1" customWidth="1"/>
    <col min="3839" max="3839" width="16.5703125" style="5" bestFit="1" customWidth="1"/>
    <col min="3840" max="3840" width="13.42578125" style="5" bestFit="1" customWidth="1"/>
    <col min="3841" max="3842" width="8.85546875" style="5"/>
    <col min="3843" max="3843" width="11.42578125" style="5" bestFit="1" customWidth="1"/>
    <col min="3844" max="3845" width="8.85546875" style="5"/>
    <col min="3846" max="3846" width="11.42578125" style="5" bestFit="1" customWidth="1"/>
    <col min="3847" max="3848" width="8.85546875" style="5"/>
    <col min="3849" max="3849" width="11.42578125" style="5" bestFit="1" customWidth="1"/>
    <col min="3850" max="4092" width="8.85546875" style="5"/>
    <col min="4093" max="4093" width="14.85546875" style="5" bestFit="1" customWidth="1"/>
    <col min="4094" max="4094" width="16.42578125" style="5" bestFit="1" customWidth="1"/>
    <col min="4095" max="4095" width="16.5703125" style="5" bestFit="1" customWidth="1"/>
    <col min="4096" max="4096" width="13.42578125" style="5" bestFit="1" customWidth="1"/>
    <col min="4097" max="4098" width="8.85546875" style="5"/>
    <col min="4099" max="4099" width="11.42578125" style="5" bestFit="1" customWidth="1"/>
    <col min="4100" max="4101" width="8.85546875" style="5"/>
    <col min="4102" max="4102" width="11.42578125" style="5" bestFit="1" customWidth="1"/>
    <col min="4103" max="4104" width="8.85546875" style="5"/>
    <col min="4105" max="4105" width="11.42578125" style="5" bestFit="1" customWidth="1"/>
    <col min="4106" max="4348" width="8.85546875" style="5"/>
    <col min="4349" max="4349" width="14.85546875" style="5" bestFit="1" customWidth="1"/>
    <col min="4350" max="4350" width="16.42578125" style="5" bestFit="1" customWidth="1"/>
    <col min="4351" max="4351" width="16.5703125" style="5" bestFit="1" customWidth="1"/>
    <col min="4352" max="4352" width="13.42578125" style="5" bestFit="1" customWidth="1"/>
    <col min="4353" max="4354" width="8.85546875" style="5"/>
    <col min="4355" max="4355" width="11.42578125" style="5" bestFit="1" customWidth="1"/>
    <col min="4356" max="4357" width="8.85546875" style="5"/>
    <col min="4358" max="4358" width="11.42578125" style="5" bestFit="1" customWidth="1"/>
    <col min="4359" max="4360" width="8.85546875" style="5"/>
    <col min="4361" max="4361" width="11.42578125" style="5" bestFit="1" customWidth="1"/>
    <col min="4362" max="4604" width="8.85546875" style="5"/>
    <col min="4605" max="4605" width="14.85546875" style="5" bestFit="1" customWidth="1"/>
    <col min="4606" max="4606" width="16.42578125" style="5" bestFit="1" customWidth="1"/>
    <col min="4607" max="4607" width="16.5703125" style="5" bestFit="1" customWidth="1"/>
    <col min="4608" max="4608" width="13.42578125" style="5" bestFit="1" customWidth="1"/>
    <col min="4609" max="4610" width="8.85546875" style="5"/>
    <col min="4611" max="4611" width="11.42578125" style="5" bestFit="1" customWidth="1"/>
    <col min="4612" max="4613" width="8.85546875" style="5"/>
    <col min="4614" max="4614" width="11.42578125" style="5" bestFit="1" customWidth="1"/>
    <col min="4615" max="4616" width="8.85546875" style="5"/>
    <col min="4617" max="4617" width="11.42578125" style="5" bestFit="1" customWidth="1"/>
    <col min="4618" max="4860" width="8.85546875" style="5"/>
    <col min="4861" max="4861" width="14.85546875" style="5" bestFit="1" customWidth="1"/>
    <col min="4862" max="4862" width="16.42578125" style="5" bestFit="1" customWidth="1"/>
    <col min="4863" max="4863" width="16.5703125" style="5" bestFit="1" customWidth="1"/>
    <col min="4864" max="4864" width="13.42578125" style="5" bestFit="1" customWidth="1"/>
    <col min="4865" max="4866" width="8.85546875" style="5"/>
    <col min="4867" max="4867" width="11.42578125" style="5" bestFit="1" customWidth="1"/>
    <col min="4868" max="4869" width="8.85546875" style="5"/>
    <col min="4870" max="4870" width="11.42578125" style="5" bestFit="1" customWidth="1"/>
    <col min="4871" max="4872" width="8.85546875" style="5"/>
    <col min="4873" max="4873" width="11.42578125" style="5" bestFit="1" customWidth="1"/>
    <col min="4874" max="5116" width="8.85546875" style="5"/>
    <col min="5117" max="5117" width="14.85546875" style="5" bestFit="1" customWidth="1"/>
    <col min="5118" max="5118" width="16.42578125" style="5" bestFit="1" customWidth="1"/>
    <col min="5119" max="5119" width="16.5703125" style="5" bestFit="1" customWidth="1"/>
    <col min="5120" max="5120" width="13.42578125" style="5" bestFit="1" customWidth="1"/>
    <col min="5121" max="5122" width="8.85546875" style="5"/>
    <col min="5123" max="5123" width="11.42578125" style="5" bestFit="1" customWidth="1"/>
    <col min="5124" max="5125" width="8.85546875" style="5"/>
    <col min="5126" max="5126" width="11.42578125" style="5" bestFit="1" customWidth="1"/>
    <col min="5127" max="5128" width="8.85546875" style="5"/>
    <col min="5129" max="5129" width="11.42578125" style="5" bestFit="1" customWidth="1"/>
    <col min="5130" max="5372" width="8.85546875" style="5"/>
    <col min="5373" max="5373" width="14.85546875" style="5" bestFit="1" customWidth="1"/>
    <col min="5374" max="5374" width="16.42578125" style="5" bestFit="1" customWidth="1"/>
    <col min="5375" max="5375" width="16.5703125" style="5" bestFit="1" customWidth="1"/>
    <col min="5376" max="5376" width="13.42578125" style="5" bestFit="1" customWidth="1"/>
    <col min="5377" max="5378" width="8.85546875" style="5"/>
    <col min="5379" max="5379" width="11.42578125" style="5" bestFit="1" customWidth="1"/>
    <col min="5380" max="5381" width="8.85546875" style="5"/>
    <col min="5382" max="5382" width="11.42578125" style="5" bestFit="1" customWidth="1"/>
    <col min="5383" max="5384" width="8.85546875" style="5"/>
    <col min="5385" max="5385" width="11.42578125" style="5" bestFit="1" customWidth="1"/>
    <col min="5386" max="5628" width="8.85546875" style="5"/>
    <col min="5629" max="5629" width="14.85546875" style="5" bestFit="1" customWidth="1"/>
    <col min="5630" max="5630" width="16.42578125" style="5" bestFit="1" customWidth="1"/>
    <col min="5631" max="5631" width="16.5703125" style="5" bestFit="1" customWidth="1"/>
    <col min="5632" max="5632" width="13.42578125" style="5" bestFit="1" customWidth="1"/>
    <col min="5633" max="5634" width="8.85546875" style="5"/>
    <col min="5635" max="5635" width="11.42578125" style="5" bestFit="1" customWidth="1"/>
    <col min="5636" max="5637" width="8.85546875" style="5"/>
    <col min="5638" max="5638" width="11.42578125" style="5" bestFit="1" customWidth="1"/>
    <col min="5639" max="5640" width="8.85546875" style="5"/>
    <col min="5641" max="5641" width="11.42578125" style="5" bestFit="1" customWidth="1"/>
    <col min="5642" max="5884" width="8.85546875" style="5"/>
    <col min="5885" max="5885" width="14.85546875" style="5" bestFit="1" customWidth="1"/>
    <col min="5886" max="5886" width="16.42578125" style="5" bestFit="1" customWidth="1"/>
    <col min="5887" max="5887" width="16.5703125" style="5" bestFit="1" customWidth="1"/>
    <col min="5888" max="5888" width="13.42578125" style="5" bestFit="1" customWidth="1"/>
    <col min="5889" max="5890" width="8.85546875" style="5"/>
    <col min="5891" max="5891" width="11.42578125" style="5" bestFit="1" customWidth="1"/>
    <col min="5892" max="5893" width="8.85546875" style="5"/>
    <col min="5894" max="5894" width="11.42578125" style="5" bestFit="1" customWidth="1"/>
    <col min="5895" max="5896" width="8.85546875" style="5"/>
    <col min="5897" max="5897" width="11.42578125" style="5" bestFit="1" customWidth="1"/>
    <col min="5898" max="6140" width="8.85546875" style="5"/>
    <col min="6141" max="6141" width="14.85546875" style="5" bestFit="1" customWidth="1"/>
    <col min="6142" max="6142" width="16.42578125" style="5" bestFit="1" customWidth="1"/>
    <col min="6143" max="6143" width="16.5703125" style="5" bestFit="1" customWidth="1"/>
    <col min="6144" max="6144" width="13.42578125" style="5" bestFit="1" customWidth="1"/>
    <col min="6145" max="6146" width="8.85546875" style="5"/>
    <col min="6147" max="6147" width="11.42578125" style="5" bestFit="1" customWidth="1"/>
    <col min="6148" max="6149" width="8.85546875" style="5"/>
    <col min="6150" max="6150" width="11.42578125" style="5" bestFit="1" customWidth="1"/>
    <col min="6151" max="6152" width="8.85546875" style="5"/>
    <col min="6153" max="6153" width="11.42578125" style="5" bestFit="1" customWidth="1"/>
    <col min="6154" max="6396" width="8.85546875" style="5"/>
    <col min="6397" max="6397" width="14.85546875" style="5" bestFit="1" customWidth="1"/>
    <col min="6398" max="6398" width="16.42578125" style="5" bestFit="1" customWidth="1"/>
    <col min="6399" max="6399" width="16.5703125" style="5" bestFit="1" customWidth="1"/>
    <col min="6400" max="6400" width="13.42578125" style="5" bestFit="1" customWidth="1"/>
    <col min="6401" max="6402" width="8.85546875" style="5"/>
    <col min="6403" max="6403" width="11.42578125" style="5" bestFit="1" customWidth="1"/>
    <col min="6404" max="6405" width="8.85546875" style="5"/>
    <col min="6406" max="6406" width="11.42578125" style="5" bestFit="1" customWidth="1"/>
    <col min="6407" max="6408" width="8.85546875" style="5"/>
    <col min="6409" max="6409" width="11.42578125" style="5" bestFit="1" customWidth="1"/>
    <col min="6410" max="6652" width="8.85546875" style="5"/>
    <col min="6653" max="6653" width="14.85546875" style="5" bestFit="1" customWidth="1"/>
    <col min="6654" max="6654" width="16.42578125" style="5" bestFit="1" customWidth="1"/>
    <col min="6655" max="6655" width="16.5703125" style="5" bestFit="1" customWidth="1"/>
    <col min="6656" max="6656" width="13.42578125" style="5" bestFit="1" customWidth="1"/>
    <col min="6657" max="6658" width="8.85546875" style="5"/>
    <col min="6659" max="6659" width="11.42578125" style="5" bestFit="1" customWidth="1"/>
    <col min="6660" max="6661" width="8.85546875" style="5"/>
    <col min="6662" max="6662" width="11.42578125" style="5" bestFit="1" customWidth="1"/>
    <col min="6663" max="6664" width="8.85546875" style="5"/>
    <col min="6665" max="6665" width="11.42578125" style="5" bestFit="1" customWidth="1"/>
    <col min="6666" max="6908" width="8.85546875" style="5"/>
    <col min="6909" max="6909" width="14.85546875" style="5" bestFit="1" customWidth="1"/>
    <col min="6910" max="6910" width="16.42578125" style="5" bestFit="1" customWidth="1"/>
    <col min="6911" max="6911" width="16.5703125" style="5" bestFit="1" customWidth="1"/>
    <col min="6912" max="6912" width="13.42578125" style="5" bestFit="1" customWidth="1"/>
    <col min="6913" max="6914" width="8.85546875" style="5"/>
    <col min="6915" max="6915" width="11.42578125" style="5" bestFit="1" customWidth="1"/>
    <col min="6916" max="6917" width="8.85546875" style="5"/>
    <col min="6918" max="6918" width="11.42578125" style="5" bestFit="1" customWidth="1"/>
    <col min="6919" max="6920" width="8.85546875" style="5"/>
    <col min="6921" max="6921" width="11.42578125" style="5" bestFit="1" customWidth="1"/>
    <col min="6922" max="7164" width="8.85546875" style="5"/>
    <col min="7165" max="7165" width="14.85546875" style="5" bestFit="1" customWidth="1"/>
    <col min="7166" max="7166" width="16.42578125" style="5" bestFit="1" customWidth="1"/>
    <col min="7167" max="7167" width="16.5703125" style="5" bestFit="1" customWidth="1"/>
    <col min="7168" max="7168" width="13.42578125" style="5" bestFit="1" customWidth="1"/>
    <col min="7169" max="7170" width="8.85546875" style="5"/>
    <col min="7171" max="7171" width="11.42578125" style="5" bestFit="1" customWidth="1"/>
    <col min="7172" max="7173" width="8.85546875" style="5"/>
    <col min="7174" max="7174" width="11.42578125" style="5" bestFit="1" customWidth="1"/>
    <col min="7175" max="7176" width="8.85546875" style="5"/>
    <col min="7177" max="7177" width="11.42578125" style="5" bestFit="1" customWidth="1"/>
    <col min="7178" max="7420" width="8.85546875" style="5"/>
    <col min="7421" max="7421" width="14.85546875" style="5" bestFit="1" customWidth="1"/>
    <col min="7422" max="7422" width="16.42578125" style="5" bestFit="1" customWidth="1"/>
    <col min="7423" max="7423" width="16.5703125" style="5" bestFit="1" customWidth="1"/>
    <col min="7424" max="7424" width="13.42578125" style="5" bestFit="1" customWidth="1"/>
    <col min="7425" max="7426" width="8.85546875" style="5"/>
    <col min="7427" max="7427" width="11.42578125" style="5" bestFit="1" customWidth="1"/>
    <col min="7428" max="7429" width="8.85546875" style="5"/>
    <col min="7430" max="7430" width="11.42578125" style="5" bestFit="1" customWidth="1"/>
    <col min="7431" max="7432" width="8.85546875" style="5"/>
    <col min="7433" max="7433" width="11.42578125" style="5" bestFit="1" customWidth="1"/>
    <col min="7434" max="7676" width="8.85546875" style="5"/>
    <col min="7677" max="7677" width="14.85546875" style="5" bestFit="1" customWidth="1"/>
    <col min="7678" max="7678" width="16.42578125" style="5" bestFit="1" customWidth="1"/>
    <col min="7679" max="7679" width="16.5703125" style="5" bestFit="1" customWidth="1"/>
    <col min="7680" max="7680" width="13.42578125" style="5" bestFit="1" customWidth="1"/>
    <col min="7681" max="7682" width="8.85546875" style="5"/>
    <col min="7683" max="7683" width="11.42578125" style="5" bestFit="1" customWidth="1"/>
    <col min="7684" max="7685" width="8.85546875" style="5"/>
    <col min="7686" max="7686" width="11.42578125" style="5" bestFit="1" customWidth="1"/>
    <col min="7687" max="7688" width="8.85546875" style="5"/>
    <col min="7689" max="7689" width="11.42578125" style="5" bestFit="1" customWidth="1"/>
    <col min="7690" max="7932" width="8.85546875" style="5"/>
    <col min="7933" max="7933" width="14.85546875" style="5" bestFit="1" customWidth="1"/>
    <col min="7934" max="7934" width="16.42578125" style="5" bestFit="1" customWidth="1"/>
    <col min="7935" max="7935" width="16.5703125" style="5" bestFit="1" customWidth="1"/>
    <col min="7936" max="7936" width="13.42578125" style="5" bestFit="1" customWidth="1"/>
    <col min="7937" max="7938" width="8.85546875" style="5"/>
    <col min="7939" max="7939" width="11.42578125" style="5" bestFit="1" customWidth="1"/>
    <col min="7940" max="7941" width="8.85546875" style="5"/>
    <col min="7942" max="7942" width="11.42578125" style="5" bestFit="1" customWidth="1"/>
    <col min="7943" max="7944" width="8.85546875" style="5"/>
    <col min="7945" max="7945" width="11.42578125" style="5" bestFit="1" customWidth="1"/>
    <col min="7946" max="8188" width="8.85546875" style="5"/>
    <col min="8189" max="8189" width="14.85546875" style="5" bestFit="1" customWidth="1"/>
    <col min="8190" max="8190" width="16.42578125" style="5" bestFit="1" customWidth="1"/>
    <col min="8191" max="8191" width="16.5703125" style="5" bestFit="1" customWidth="1"/>
    <col min="8192" max="8192" width="13.42578125" style="5" bestFit="1" customWidth="1"/>
    <col min="8193" max="8194" width="8.85546875" style="5"/>
    <col min="8195" max="8195" width="11.42578125" style="5" bestFit="1" customWidth="1"/>
    <col min="8196" max="8197" width="8.85546875" style="5"/>
    <col min="8198" max="8198" width="11.42578125" style="5" bestFit="1" customWidth="1"/>
    <col min="8199" max="8200" width="8.85546875" style="5"/>
    <col min="8201" max="8201" width="11.42578125" style="5" bestFit="1" customWidth="1"/>
    <col min="8202" max="8444" width="8.85546875" style="5"/>
    <col min="8445" max="8445" width="14.85546875" style="5" bestFit="1" customWidth="1"/>
    <col min="8446" max="8446" width="16.42578125" style="5" bestFit="1" customWidth="1"/>
    <col min="8447" max="8447" width="16.5703125" style="5" bestFit="1" customWidth="1"/>
    <col min="8448" max="8448" width="13.42578125" style="5" bestFit="1" customWidth="1"/>
    <col min="8449" max="8450" width="8.85546875" style="5"/>
    <col min="8451" max="8451" width="11.42578125" style="5" bestFit="1" customWidth="1"/>
    <col min="8452" max="8453" width="8.85546875" style="5"/>
    <col min="8454" max="8454" width="11.42578125" style="5" bestFit="1" customWidth="1"/>
    <col min="8455" max="8456" width="8.85546875" style="5"/>
    <col min="8457" max="8457" width="11.42578125" style="5" bestFit="1" customWidth="1"/>
    <col min="8458" max="8700" width="8.85546875" style="5"/>
    <col min="8701" max="8701" width="14.85546875" style="5" bestFit="1" customWidth="1"/>
    <col min="8702" max="8702" width="16.42578125" style="5" bestFit="1" customWidth="1"/>
    <col min="8703" max="8703" width="16.5703125" style="5" bestFit="1" customWidth="1"/>
    <col min="8704" max="8704" width="13.42578125" style="5" bestFit="1" customWidth="1"/>
    <col min="8705" max="8706" width="8.85546875" style="5"/>
    <col min="8707" max="8707" width="11.42578125" style="5" bestFit="1" customWidth="1"/>
    <col min="8708" max="8709" width="8.85546875" style="5"/>
    <col min="8710" max="8710" width="11.42578125" style="5" bestFit="1" customWidth="1"/>
    <col min="8711" max="8712" width="8.85546875" style="5"/>
    <col min="8713" max="8713" width="11.42578125" style="5" bestFit="1" customWidth="1"/>
    <col min="8714" max="8956" width="8.85546875" style="5"/>
    <col min="8957" max="8957" width="14.85546875" style="5" bestFit="1" customWidth="1"/>
    <col min="8958" max="8958" width="16.42578125" style="5" bestFit="1" customWidth="1"/>
    <col min="8959" max="8959" width="16.5703125" style="5" bestFit="1" customWidth="1"/>
    <col min="8960" max="8960" width="13.42578125" style="5" bestFit="1" customWidth="1"/>
    <col min="8961" max="8962" width="8.85546875" style="5"/>
    <col min="8963" max="8963" width="11.42578125" style="5" bestFit="1" customWidth="1"/>
    <col min="8964" max="8965" width="8.85546875" style="5"/>
    <col min="8966" max="8966" width="11.42578125" style="5" bestFit="1" customWidth="1"/>
    <col min="8967" max="8968" width="8.85546875" style="5"/>
    <col min="8969" max="8969" width="11.42578125" style="5" bestFit="1" customWidth="1"/>
    <col min="8970" max="9212" width="8.85546875" style="5"/>
    <col min="9213" max="9213" width="14.85546875" style="5" bestFit="1" customWidth="1"/>
    <col min="9214" max="9214" width="16.42578125" style="5" bestFit="1" customWidth="1"/>
    <col min="9215" max="9215" width="16.5703125" style="5" bestFit="1" customWidth="1"/>
    <col min="9216" max="9216" width="13.42578125" style="5" bestFit="1" customWidth="1"/>
    <col min="9217" max="9218" width="8.85546875" style="5"/>
    <col min="9219" max="9219" width="11.42578125" style="5" bestFit="1" customWidth="1"/>
    <col min="9220" max="9221" width="8.85546875" style="5"/>
    <col min="9222" max="9222" width="11.42578125" style="5" bestFit="1" customWidth="1"/>
    <col min="9223" max="9224" width="8.85546875" style="5"/>
    <col min="9225" max="9225" width="11.42578125" style="5" bestFit="1" customWidth="1"/>
    <col min="9226" max="9468" width="8.85546875" style="5"/>
    <col min="9469" max="9469" width="14.85546875" style="5" bestFit="1" customWidth="1"/>
    <col min="9470" max="9470" width="16.42578125" style="5" bestFit="1" customWidth="1"/>
    <col min="9471" max="9471" width="16.5703125" style="5" bestFit="1" customWidth="1"/>
    <col min="9472" max="9472" width="13.42578125" style="5" bestFit="1" customWidth="1"/>
    <col min="9473" max="9474" width="8.85546875" style="5"/>
    <col min="9475" max="9475" width="11.42578125" style="5" bestFit="1" customWidth="1"/>
    <col min="9476" max="9477" width="8.85546875" style="5"/>
    <col min="9478" max="9478" width="11.42578125" style="5" bestFit="1" customWidth="1"/>
    <col min="9479" max="9480" width="8.85546875" style="5"/>
    <col min="9481" max="9481" width="11.42578125" style="5" bestFit="1" customWidth="1"/>
    <col min="9482" max="9724" width="8.85546875" style="5"/>
    <col min="9725" max="9725" width="14.85546875" style="5" bestFit="1" customWidth="1"/>
    <col min="9726" max="9726" width="16.42578125" style="5" bestFit="1" customWidth="1"/>
    <col min="9727" max="9727" width="16.5703125" style="5" bestFit="1" customWidth="1"/>
    <col min="9728" max="9728" width="13.42578125" style="5" bestFit="1" customWidth="1"/>
    <col min="9729" max="9730" width="8.85546875" style="5"/>
    <col min="9731" max="9731" width="11.42578125" style="5" bestFit="1" customWidth="1"/>
    <col min="9732" max="9733" width="8.85546875" style="5"/>
    <col min="9734" max="9734" width="11.42578125" style="5" bestFit="1" customWidth="1"/>
    <col min="9735" max="9736" width="8.85546875" style="5"/>
    <col min="9737" max="9737" width="11.42578125" style="5" bestFit="1" customWidth="1"/>
    <col min="9738" max="9980" width="8.85546875" style="5"/>
    <col min="9981" max="9981" width="14.85546875" style="5" bestFit="1" customWidth="1"/>
    <col min="9982" max="9982" width="16.42578125" style="5" bestFit="1" customWidth="1"/>
    <col min="9983" max="9983" width="16.5703125" style="5" bestFit="1" customWidth="1"/>
    <col min="9984" max="9984" width="13.42578125" style="5" bestFit="1" customWidth="1"/>
    <col min="9985" max="9986" width="8.85546875" style="5"/>
    <col min="9987" max="9987" width="11.42578125" style="5" bestFit="1" customWidth="1"/>
    <col min="9988" max="9989" width="8.85546875" style="5"/>
    <col min="9990" max="9990" width="11.42578125" style="5" bestFit="1" customWidth="1"/>
    <col min="9991" max="9992" width="8.85546875" style="5"/>
    <col min="9993" max="9993" width="11.42578125" style="5" bestFit="1" customWidth="1"/>
    <col min="9994" max="10236" width="8.85546875" style="5"/>
    <col min="10237" max="10237" width="14.85546875" style="5" bestFit="1" customWidth="1"/>
    <col min="10238" max="10238" width="16.42578125" style="5" bestFit="1" customWidth="1"/>
    <col min="10239" max="10239" width="16.5703125" style="5" bestFit="1" customWidth="1"/>
    <col min="10240" max="10240" width="13.42578125" style="5" bestFit="1" customWidth="1"/>
    <col min="10241" max="10242" width="8.85546875" style="5"/>
    <col min="10243" max="10243" width="11.42578125" style="5" bestFit="1" customWidth="1"/>
    <col min="10244" max="10245" width="8.85546875" style="5"/>
    <col min="10246" max="10246" width="11.42578125" style="5" bestFit="1" customWidth="1"/>
    <col min="10247" max="10248" width="8.85546875" style="5"/>
    <col min="10249" max="10249" width="11.42578125" style="5" bestFit="1" customWidth="1"/>
    <col min="10250" max="10492" width="8.85546875" style="5"/>
    <col min="10493" max="10493" width="14.85546875" style="5" bestFit="1" customWidth="1"/>
    <col min="10494" max="10494" width="16.42578125" style="5" bestFit="1" customWidth="1"/>
    <col min="10495" max="10495" width="16.5703125" style="5" bestFit="1" customWidth="1"/>
    <col min="10496" max="10496" width="13.42578125" style="5" bestFit="1" customWidth="1"/>
    <col min="10497" max="10498" width="8.85546875" style="5"/>
    <col min="10499" max="10499" width="11.42578125" style="5" bestFit="1" customWidth="1"/>
    <col min="10500" max="10501" width="8.85546875" style="5"/>
    <col min="10502" max="10502" width="11.42578125" style="5" bestFit="1" customWidth="1"/>
    <col min="10503" max="10504" width="8.85546875" style="5"/>
    <col min="10505" max="10505" width="11.42578125" style="5" bestFit="1" customWidth="1"/>
    <col min="10506" max="10748" width="8.85546875" style="5"/>
    <col min="10749" max="10749" width="14.85546875" style="5" bestFit="1" customWidth="1"/>
    <col min="10750" max="10750" width="16.42578125" style="5" bestFit="1" customWidth="1"/>
    <col min="10751" max="10751" width="16.5703125" style="5" bestFit="1" customWidth="1"/>
    <col min="10752" max="10752" width="13.42578125" style="5" bestFit="1" customWidth="1"/>
    <col min="10753" max="10754" width="8.85546875" style="5"/>
    <col min="10755" max="10755" width="11.42578125" style="5" bestFit="1" customWidth="1"/>
    <col min="10756" max="10757" width="8.85546875" style="5"/>
    <col min="10758" max="10758" width="11.42578125" style="5" bestFit="1" customWidth="1"/>
    <col min="10759" max="10760" width="8.85546875" style="5"/>
    <col min="10761" max="10761" width="11.42578125" style="5" bestFit="1" customWidth="1"/>
    <col min="10762" max="11004" width="8.85546875" style="5"/>
    <col min="11005" max="11005" width="14.85546875" style="5" bestFit="1" customWidth="1"/>
    <col min="11006" max="11006" width="16.42578125" style="5" bestFit="1" customWidth="1"/>
    <col min="11007" max="11007" width="16.5703125" style="5" bestFit="1" customWidth="1"/>
    <col min="11008" max="11008" width="13.42578125" style="5" bestFit="1" customWidth="1"/>
    <col min="11009" max="11010" width="8.85546875" style="5"/>
    <col min="11011" max="11011" width="11.42578125" style="5" bestFit="1" customWidth="1"/>
    <col min="11012" max="11013" width="8.85546875" style="5"/>
    <col min="11014" max="11014" width="11.42578125" style="5" bestFit="1" customWidth="1"/>
    <col min="11015" max="11016" width="8.85546875" style="5"/>
    <col min="11017" max="11017" width="11.42578125" style="5" bestFit="1" customWidth="1"/>
    <col min="11018" max="11260" width="8.85546875" style="5"/>
    <col min="11261" max="11261" width="14.85546875" style="5" bestFit="1" customWidth="1"/>
    <col min="11262" max="11262" width="16.42578125" style="5" bestFit="1" customWidth="1"/>
    <col min="11263" max="11263" width="16.5703125" style="5" bestFit="1" customWidth="1"/>
    <col min="11264" max="11264" width="13.42578125" style="5" bestFit="1" customWidth="1"/>
    <col min="11265" max="11266" width="8.85546875" style="5"/>
    <col min="11267" max="11267" width="11.42578125" style="5" bestFit="1" customWidth="1"/>
    <col min="11268" max="11269" width="8.85546875" style="5"/>
    <col min="11270" max="11270" width="11.42578125" style="5" bestFit="1" customWidth="1"/>
    <col min="11271" max="11272" width="8.85546875" style="5"/>
    <col min="11273" max="11273" width="11.42578125" style="5" bestFit="1" customWidth="1"/>
    <col min="11274" max="11516" width="8.85546875" style="5"/>
    <col min="11517" max="11517" width="14.85546875" style="5" bestFit="1" customWidth="1"/>
    <col min="11518" max="11518" width="16.42578125" style="5" bestFit="1" customWidth="1"/>
    <col min="11519" max="11519" width="16.5703125" style="5" bestFit="1" customWidth="1"/>
    <col min="11520" max="11520" width="13.42578125" style="5" bestFit="1" customWidth="1"/>
    <col min="11521" max="11522" width="8.85546875" style="5"/>
    <col min="11523" max="11523" width="11.42578125" style="5" bestFit="1" customWidth="1"/>
    <col min="11524" max="11525" width="8.85546875" style="5"/>
    <col min="11526" max="11526" width="11.42578125" style="5" bestFit="1" customWidth="1"/>
    <col min="11527" max="11528" width="8.85546875" style="5"/>
    <col min="11529" max="11529" width="11.42578125" style="5" bestFit="1" customWidth="1"/>
    <col min="11530" max="11772" width="8.85546875" style="5"/>
    <col min="11773" max="11773" width="14.85546875" style="5" bestFit="1" customWidth="1"/>
    <col min="11774" max="11774" width="16.42578125" style="5" bestFit="1" customWidth="1"/>
    <col min="11775" max="11775" width="16.5703125" style="5" bestFit="1" customWidth="1"/>
    <col min="11776" max="11776" width="13.42578125" style="5" bestFit="1" customWidth="1"/>
    <col min="11777" max="11778" width="8.85546875" style="5"/>
    <col min="11779" max="11779" width="11.42578125" style="5" bestFit="1" customWidth="1"/>
    <col min="11780" max="11781" width="8.85546875" style="5"/>
    <col min="11782" max="11782" width="11.42578125" style="5" bestFit="1" customWidth="1"/>
    <col min="11783" max="11784" width="8.85546875" style="5"/>
    <col min="11785" max="11785" width="11.42578125" style="5" bestFit="1" customWidth="1"/>
    <col min="11786" max="12028" width="8.85546875" style="5"/>
    <col min="12029" max="12029" width="14.85546875" style="5" bestFit="1" customWidth="1"/>
    <col min="12030" max="12030" width="16.42578125" style="5" bestFit="1" customWidth="1"/>
    <col min="12031" max="12031" width="16.5703125" style="5" bestFit="1" customWidth="1"/>
    <col min="12032" max="12032" width="13.42578125" style="5" bestFit="1" customWidth="1"/>
    <col min="12033" max="12034" width="8.85546875" style="5"/>
    <col min="12035" max="12035" width="11.42578125" style="5" bestFit="1" customWidth="1"/>
    <col min="12036" max="12037" width="8.85546875" style="5"/>
    <col min="12038" max="12038" width="11.42578125" style="5" bestFit="1" customWidth="1"/>
    <col min="12039" max="12040" width="8.85546875" style="5"/>
    <col min="12041" max="12041" width="11.42578125" style="5" bestFit="1" customWidth="1"/>
    <col min="12042" max="12284" width="8.85546875" style="5"/>
    <col min="12285" max="12285" width="14.85546875" style="5" bestFit="1" customWidth="1"/>
    <col min="12286" max="12286" width="16.42578125" style="5" bestFit="1" customWidth="1"/>
    <col min="12287" max="12287" width="16.5703125" style="5" bestFit="1" customWidth="1"/>
    <col min="12288" max="12288" width="13.42578125" style="5" bestFit="1" customWidth="1"/>
    <col min="12289" max="12290" width="8.85546875" style="5"/>
    <col min="12291" max="12291" width="11.42578125" style="5" bestFit="1" customWidth="1"/>
    <col min="12292" max="12293" width="8.85546875" style="5"/>
    <col min="12294" max="12294" width="11.42578125" style="5" bestFit="1" customWidth="1"/>
    <col min="12295" max="12296" width="8.85546875" style="5"/>
    <col min="12297" max="12297" width="11.42578125" style="5" bestFit="1" customWidth="1"/>
    <col min="12298" max="12540" width="8.85546875" style="5"/>
    <col min="12541" max="12541" width="14.85546875" style="5" bestFit="1" customWidth="1"/>
    <col min="12542" max="12542" width="16.42578125" style="5" bestFit="1" customWidth="1"/>
    <col min="12543" max="12543" width="16.5703125" style="5" bestFit="1" customWidth="1"/>
    <col min="12544" max="12544" width="13.42578125" style="5" bestFit="1" customWidth="1"/>
    <col min="12545" max="12546" width="8.85546875" style="5"/>
    <col min="12547" max="12547" width="11.42578125" style="5" bestFit="1" customWidth="1"/>
    <col min="12548" max="12549" width="8.85546875" style="5"/>
    <col min="12550" max="12550" width="11.42578125" style="5" bestFit="1" customWidth="1"/>
    <col min="12551" max="12552" width="8.85546875" style="5"/>
    <col min="12553" max="12553" width="11.42578125" style="5" bestFit="1" customWidth="1"/>
    <col min="12554" max="12796" width="8.85546875" style="5"/>
    <col min="12797" max="12797" width="14.85546875" style="5" bestFit="1" customWidth="1"/>
    <col min="12798" max="12798" width="16.42578125" style="5" bestFit="1" customWidth="1"/>
    <col min="12799" max="12799" width="16.5703125" style="5" bestFit="1" customWidth="1"/>
    <col min="12800" max="12800" width="13.42578125" style="5" bestFit="1" customWidth="1"/>
    <col min="12801" max="12802" width="8.85546875" style="5"/>
    <col min="12803" max="12803" width="11.42578125" style="5" bestFit="1" customWidth="1"/>
    <col min="12804" max="12805" width="8.85546875" style="5"/>
    <col min="12806" max="12806" width="11.42578125" style="5" bestFit="1" customWidth="1"/>
    <col min="12807" max="12808" width="8.85546875" style="5"/>
    <col min="12809" max="12809" width="11.42578125" style="5" bestFit="1" customWidth="1"/>
    <col min="12810" max="13052" width="8.85546875" style="5"/>
    <col min="13053" max="13053" width="14.85546875" style="5" bestFit="1" customWidth="1"/>
    <col min="13054" max="13054" width="16.42578125" style="5" bestFit="1" customWidth="1"/>
    <col min="13055" max="13055" width="16.5703125" style="5" bestFit="1" customWidth="1"/>
    <col min="13056" max="13056" width="13.42578125" style="5" bestFit="1" customWidth="1"/>
    <col min="13057" max="13058" width="8.85546875" style="5"/>
    <col min="13059" max="13059" width="11.42578125" style="5" bestFit="1" customWidth="1"/>
    <col min="13060" max="13061" width="8.85546875" style="5"/>
    <col min="13062" max="13062" width="11.42578125" style="5" bestFit="1" customWidth="1"/>
    <col min="13063" max="13064" width="8.85546875" style="5"/>
    <col min="13065" max="13065" width="11.42578125" style="5" bestFit="1" customWidth="1"/>
    <col min="13066" max="13308" width="8.85546875" style="5"/>
    <col min="13309" max="13309" width="14.85546875" style="5" bestFit="1" customWidth="1"/>
    <col min="13310" max="13310" width="16.42578125" style="5" bestFit="1" customWidth="1"/>
    <col min="13311" max="13311" width="16.5703125" style="5" bestFit="1" customWidth="1"/>
    <col min="13312" max="13312" width="13.42578125" style="5" bestFit="1" customWidth="1"/>
    <col min="13313" max="13314" width="8.85546875" style="5"/>
    <col min="13315" max="13315" width="11.42578125" style="5" bestFit="1" customWidth="1"/>
    <col min="13316" max="13317" width="8.85546875" style="5"/>
    <col min="13318" max="13318" width="11.42578125" style="5" bestFit="1" customWidth="1"/>
    <col min="13319" max="13320" width="8.85546875" style="5"/>
    <col min="13321" max="13321" width="11.42578125" style="5" bestFit="1" customWidth="1"/>
    <col min="13322" max="13564" width="8.85546875" style="5"/>
    <col min="13565" max="13565" width="14.85546875" style="5" bestFit="1" customWidth="1"/>
    <col min="13566" max="13566" width="16.42578125" style="5" bestFit="1" customWidth="1"/>
    <col min="13567" max="13567" width="16.5703125" style="5" bestFit="1" customWidth="1"/>
    <col min="13568" max="13568" width="13.42578125" style="5" bestFit="1" customWidth="1"/>
    <col min="13569" max="13570" width="8.85546875" style="5"/>
    <col min="13571" max="13571" width="11.42578125" style="5" bestFit="1" customWidth="1"/>
    <col min="13572" max="13573" width="8.85546875" style="5"/>
    <col min="13574" max="13574" width="11.42578125" style="5" bestFit="1" customWidth="1"/>
    <col min="13575" max="13576" width="8.85546875" style="5"/>
    <col min="13577" max="13577" width="11.42578125" style="5" bestFit="1" customWidth="1"/>
    <col min="13578" max="13820" width="8.85546875" style="5"/>
    <col min="13821" max="13821" width="14.85546875" style="5" bestFit="1" customWidth="1"/>
    <col min="13822" max="13822" width="16.42578125" style="5" bestFit="1" customWidth="1"/>
    <col min="13823" max="13823" width="16.5703125" style="5" bestFit="1" customWidth="1"/>
    <col min="13824" max="13824" width="13.42578125" style="5" bestFit="1" customWidth="1"/>
    <col min="13825" max="13826" width="8.85546875" style="5"/>
    <col min="13827" max="13827" width="11.42578125" style="5" bestFit="1" customWidth="1"/>
    <col min="13828" max="13829" width="8.85546875" style="5"/>
    <col min="13830" max="13830" width="11.42578125" style="5" bestFit="1" customWidth="1"/>
    <col min="13831" max="13832" width="8.85546875" style="5"/>
    <col min="13833" max="13833" width="11.42578125" style="5" bestFit="1" customWidth="1"/>
    <col min="13834" max="14076" width="8.85546875" style="5"/>
    <col min="14077" max="14077" width="14.85546875" style="5" bestFit="1" customWidth="1"/>
    <col min="14078" max="14078" width="16.42578125" style="5" bestFit="1" customWidth="1"/>
    <col min="14079" max="14079" width="16.5703125" style="5" bestFit="1" customWidth="1"/>
    <col min="14080" max="14080" width="13.42578125" style="5" bestFit="1" customWidth="1"/>
    <col min="14081" max="14082" width="8.85546875" style="5"/>
    <col min="14083" max="14083" width="11.42578125" style="5" bestFit="1" customWidth="1"/>
    <col min="14084" max="14085" width="8.85546875" style="5"/>
    <col min="14086" max="14086" width="11.42578125" style="5" bestFit="1" customWidth="1"/>
    <col min="14087" max="14088" width="8.85546875" style="5"/>
    <col min="14089" max="14089" width="11.42578125" style="5" bestFit="1" customWidth="1"/>
    <col min="14090" max="14332" width="8.85546875" style="5"/>
    <col min="14333" max="14333" width="14.85546875" style="5" bestFit="1" customWidth="1"/>
    <col min="14334" max="14334" width="16.42578125" style="5" bestFit="1" customWidth="1"/>
    <col min="14335" max="14335" width="16.5703125" style="5" bestFit="1" customWidth="1"/>
    <col min="14336" max="14336" width="13.42578125" style="5" bestFit="1" customWidth="1"/>
    <col min="14337" max="14338" width="8.85546875" style="5"/>
    <col min="14339" max="14339" width="11.42578125" style="5" bestFit="1" customWidth="1"/>
    <col min="14340" max="14341" width="8.85546875" style="5"/>
    <col min="14342" max="14342" width="11.42578125" style="5" bestFit="1" customWidth="1"/>
    <col min="14343" max="14344" width="8.85546875" style="5"/>
    <col min="14345" max="14345" width="11.42578125" style="5" bestFit="1" customWidth="1"/>
    <col min="14346" max="14588" width="8.85546875" style="5"/>
    <col min="14589" max="14589" width="14.85546875" style="5" bestFit="1" customWidth="1"/>
    <col min="14590" max="14590" width="16.42578125" style="5" bestFit="1" customWidth="1"/>
    <col min="14591" max="14591" width="16.5703125" style="5" bestFit="1" customWidth="1"/>
    <col min="14592" max="14592" width="13.42578125" style="5" bestFit="1" customWidth="1"/>
    <col min="14593" max="14594" width="8.85546875" style="5"/>
    <col min="14595" max="14595" width="11.42578125" style="5" bestFit="1" customWidth="1"/>
    <col min="14596" max="14597" width="8.85546875" style="5"/>
    <col min="14598" max="14598" width="11.42578125" style="5" bestFit="1" customWidth="1"/>
    <col min="14599" max="14600" width="8.85546875" style="5"/>
    <col min="14601" max="14601" width="11.42578125" style="5" bestFit="1" customWidth="1"/>
    <col min="14602" max="14844" width="8.85546875" style="5"/>
    <col min="14845" max="14845" width="14.85546875" style="5" bestFit="1" customWidth="1"/>
    <col min="14846" max="14846" width="16.42578125" style="5" bestFit="1" customWidth="1"/>
    <col min="14847" max="14847" width="16.5703125" style="5" bestFit="1" customWidth="1"/>
    <col min="14848" max="14848" width="13.42578125" style="5" bestFit="1" customWidth="1"/>
    <col min="14849" max="14850" width="8.85546875" style="5"/>
    <col min="14851" max="14851" width="11.42578125" style="5" bestFit="1" customWidth="1"/>
    <col min="14852" max="14853" width="8.85546875" style="5"/>
    <col min="14854" max="14854" width="11.42578125" style="5" bestFit="1" customWidth="1"/>
    <col min="14855" max="14856" width="8.85546875" style="5"/>
    <col min="14857" max="14857" width="11.42578125" style="5" bestFit="1" customWidth="1"/>
    <col min="14858" max="15100" width="8.85546875" style="5"/>
    <col min="15101" max="15101" width="14.85546875" style="5" bestFit="1" customWidth="1"/>
    <col min="15102" max="15102" width="16.42578125" style="5" bestFit="1" customWidth="1"/>
    <col min="15103" max="15103" width="16.5703125" style="5" bestFit="1" customWidth="1"/>
    <col min="15104" max="15104" width="13.42578125" style="5" bestFit="1" customWidth="1"/>
    <col min="15105" max="15106" width="8.85546875" style="5"/>
    <col min="15107" max="15107" width="11.42578125" style="5" bestFit="1" customWidth="1"/>
    <col min="15108" max="15109" width="8.85546875" style="5"/>
    <col min="15110" max="15110" width="11.42578125" style="5" bestFit="1" customWidth="1"/>
    <col min="15111" max="15112" width="8.85546875" style="5"/>
    <col min="15113" max="15113" width="11.42578125" style="5" bestFit="1" customWidth="1"/>
    <col min="15114" max="15356" width="8.85546875" style="5"/>
    <col min="15357" max="15357" width="14.85546875" style="5" bestFit="1" customWidth="1"/>
    <col min="15358" max="15358" width="16.42578125" style="5" bestFit="1" customWidth="1"/>
    <col min="15359" max="15359" width="16.5703125" style="5" bestFit="1" customWidth="1"/>
    <col min="15360" max="15360" width="13.42578125" style="5" bestFit="1" customWidth="1"/>
    <col min="15361" max="15362" width="8.85546875" style="5"/>
    <col min="15363" max="15363" width="11.42578125" style="5" bestFit="1" customWidth="1"/>
    <col min="15364" max="15365" width="8.85546875" style="5"/>
    <col min="15366" max="15366" width="11.42578125" style="5" bestFit="1" customWidth="1"/>
    <col min="15367" max="15368" width="8.85546875" style="5"/>
    <col min="15369" max="15369" width="11.42578125" style="5" bestFit="1" customWidth="1"/>
    <col min="15370" max="15612" width="8.85546875" style="5"/>
    <col min="15613" max="15613" width="14.85546875" style="5" bestFit="1" customWidth="1"/>
    <col min="15614" max="15614" width="16.42578125" style="5" bestFit="1" customWidth="1"/>
    <col min="15615" max="15615" width="16.5703125" style="5" bestFit="1" customWidth="1"/>
    <col min="15616" max="15616" width="13.42578125" style="5" bestFit="1" customWidth="1"/>
    <col min="15617" max="15618" width="8.85546875" style="5"/>
    <col min="15619" max="15619" width="11.42578125" style="5" bestFit="1" customWidth="1"/>
    <col min="15620" max="15621" width="8.85546875" style="5"/>
    <col min="15622" max="15622" width="11.42578125" style="5" bestFit="1" customWidth="1"/>
    <col min="15623" max="15624" width="8.85546875" style="5"/>
    <col min="15625" max="15625" width="11.42578125" style="5" bestFit="1" customWidth="1"/>
    <col min="15626" max="15868" width="8.85546875" style="5"/>
    <col min="15869" max="15869" width="14.85546875" style="5" bestFit="1" customWidth="1"/>
    <col min="15870" max="15870" width="16.42578125" style="5" bestFit="1" customWidth="1"/>
    <col min="15871" max="15871" width="16.5703125" style="5" bestFit="1" customWidth="1"/>
    <col min="15872" max="15872" width="13.42578125" style="5" bestFit="1" customWidth="1"/>
    <col min="15873" max="15874" width="8.85546875" style="5"/>
    <col min="15875" max="15875" width="11.42578125" style="5" bestFit="1" customWidth="1"/>
    <col min="15876" max="15877" width="8.85546875" style="5"/>
    <col min="15878" max="15878" width="11.42578125" style="5" bestFit="1" customWidth="1"/>
    <col min="15879" max="15880" width="8.85546875" style="5"/>
    <col min="15881" max="15881" width="11.42578125" style="5" bestFit="1" customWidth="1"/>
    <col min="15882" max="16124" width="8.85546875" style="5"/>
    <col min="16125" max="16125" width="14.85546875" style="5" bestFit="1" customWidth="1"/>
    <col min="16126" max="16126" width="16.42578125" style="5" bestFit="1" customWidth="1"/>
    <col min="16127" max="16127" width="16.5703125" style="5" bestFit="1" customWidth="1"/>
    <col min="16128" max="16128" width="13.42578125" style="5" bestFit="1" customWidth="1"/>
    <col min="16129" max="16130" width="8.85546875" style="5"/>
    <col min="16131" max="16131" width="11.42578125" style="5" bestFit="1" customWidth="1"/>
    <col min="16132" max="16133" width="8.85546875" style="5"/>
    <col min="16134" max="16134" width="11.42578125" style="5" bestFit="1" customWidth="1"/>
    <col min="16135" max="16136" width="8.85546875" style="5"/>
    <col min="16137" max="16137" width="11.42578125" style="5" bestFit="1" customWidth="1"/>
    <col min="16138" max="16376" width="8.85546875" style="5"/>
    <col min="16377" max="16384" width="8.5703125" style="5" customWidth="1"/>
  </cols>
  <sheetData>
    <row r="2" spans="1:14" s="24" customFormat="1" x14ac:dyDescent="0.2">
      <c r="B2" s="24" t="s">
        <v>262</v>
      </c>
      <c r="H2" s="24" t="s">
        <v>47</v>
      </c>
      <c r="I2" s="5"/>
      <c r="J2" s="5"/>
    </row>
    <row r="3" spans="1:14" ht="13.5" customHeight="1" x14ac:dyDescent="0.2">
      <c r="B3" s="368" t="s">
        <v>261</v>
      </c>
      <c r="C3" s="368"/>
      <c r="D3" s="368"/>
      <c r="E3" s="7" t="s">
        <v>260</v>
      </c>
      <c r="F3" s="181" t="s">
        <v>259</v>
      </c>
      <c r="H3" s="7" t="s">
        <v>585</v>
      </c>
      <c r="I3" s="9" t="s">
        <v>30</v>
      </c>
      <c r="J3" s="9" t="s">
        <v>44</v>
      </c>
      <c r="N3" s="371"/>
    </row>
    <row r="4" spans="1:14" x14ac:dyDescent="0.2">
      <c r="A4" s="5">
        <v>1</v>
      </c>
      <c r="B4" s="313" t="s">
        <v>258</v>
      </c>
      <c r="C4" s="313"/>
      <c r="D4" s="313"/>
      <c r="E4" s="313" t="s">
        <v>251</v>
      </c>
      <c r="F4" s="315">
        <v>210</v>
      </c>
      <c r="H4" s="24" t="str">
        <f>B19</f>
        <v>PepsiCo</v>
      </c>
      <c r="I4" s="264">
        <f>_xlfn.COVARIANCE.P($C$22:$C$178,$U$22:$U$178)/_xlfn.VAR.P($U$22:$U$178)</f>
        <v>0.77730819557084008</v>
      </c>
      <c r="J4" s="323">
        <f>RSQ($C$22:$C$178,$U$22:$U$178)</f>
        <v>0.52038993313198323</v>
      </c>
      <c r="N4" s="371"/>
    </row>
    <row r="5" spans="1:14" x14ac:dyDescent="0.2">
      <c r="A5" s="5">
        <v>2</v>
      </c>
      <c r="B5" s="313" t="s">
        <v>257</v>
      </c>
      <c r="C5" s="313"/>
      <c r="D5" s="313"/>
      <c r="E5" s="313" t="s">
        <v>251</v>
      </c>
      <c r="F5" s="315">
        <v>14.6</v>
      </c>
      <c r="H5" s="5" t="str">
        <f>D19</f>
        <v>Coca Cola</v>
      </c>
      <c r="I5" s="264">
        <f>_xlfn.COVARIANCE.P($E$22:$E$178,$U$22:$U$178)/_xlfn.VAR.P($U$22:$U$178)</f>
        <v>0.90249372201998534</v>
      </c>
      <c r="J5" s="323">
        <f>RSQ($E$22:$E$178,$U$22:$U$178)</f>
        <v>0.59193543586109743</v>
      </c>
      <c r="N5" s="371"/>
    </row>
    <row r="6" spans="1:14" x14ac:dyDescent="0.2">
      <c r="A6" s="5">
        <v>3</v>
      </c>
      <c r="B6" s="313" t="s">
        <v>256</v>
      </c>
      <c r="C6" s="313"/>
      <c r="D6" s="313"/>
      <c r="E6" s="313" t="s">
        <v>251</v>
      </c>
      <c r="F6" s="315">
        <v>18</v>
      </c>
      <c r="H6" s="324" t="str">
        <f>F19</f>
        <v>Campbell</v>
      </c>
      <c r="I6" s="325">
        <f>_xlfn.COVARIANCE.P($G$22:$G$178,$U$22:$U$178)/_xlfn.VAR.P($U$22:$U$178)</f>
        <v>0.30108409846883788</v>
      </c>
      <c r="J6" s="326">
        <f>RSQ($G$22:$G$178,$U$22:$U$178)</f>
        <v>4.2397392371075829E-2</v>
      </c>
      <c r="K6" s="372" t="s">
        <v>587</v>
      </c>
      <c r="L6" s="372" t="s">
        <v>588</v>
      </c>
      <c r="M6" s="372"/>
      <c r="N6" s="371"/>
    </row>
    <row r="7" spans="1:14" x14ac:dyDescent="0.2">
      <c r="A7" s="5">
        <v>4</v>
      </c>
      <c r="B7" s="313" t="s">
        <v>255</v>
      </c>
      <c r="C7" s="313"/>
      <c r="D7" s="313"/>
      <c r="E7" s="313" t="s">
        <v>251</v>
      </c>
      <c r="F7" s="315">
        <v>22.3</v>
      </c>
      <c r="H7" s="324" t="str">
        <f>H19</f>
        <v>Conagra</v>
      </c>
      <c r="I7" s="325">
        <f>_xlfn.COVARIANCE.P($I$22:$I$178,$U$22:$U$178)/_xlfn.VAR.P($U$22:$U$178)</f>
        <v>0.61515834478316889</v>
      </c>
      <c r="J7" s="326">
        <f>RSQ($I$22:$I$178,$U$22:$U$178)</f>
        <v>0.13915575870746622</v>
      </c>
      <c r="K7" s="372"/>
      <c r="L7" s="372"/>
      <c r="M7" s="372"/>
      <c r="N7" s="371"/>
    </row>
    <row r="8" spans="1:14" x14ac:dyDescent="0.2">
      <c r="A8" s="5">
        <v>5</v>
      </c>
      <c r="B8" s="313" t="s">
        <v>246</v>
      </c>
      <c r="C8" s="316"/>
      <c r="D8" s="316"/>
      <c r="E8" s="314" t="s">
        <v>251</v>
      </c>
      <c r="F8" s="315">
        <v>39.4</v>
      </c>
      <c r="H8" s="324" t="str">
        <f>J19</f>
        <v>Kellogg</v>
      </c>
      <c r="I8" s="325">
        <f>_xlfn.COVARIANCE.P($K$22:$K$178,$U$22:$U$178)/_xlfn.VAR.P($U$22:$U$178)</f>
        <v>0.47882019707673734</v>
      </c>
      <c r="J8" s="326">
        <f>RSQ($K$22:$K$178,$U$22:$U$178)</f>
        <v>0.17266423639071168</v>
      </c>
      <c r="K8" s="372"/>
      <c r="L8" s="26"/>
      <c r="N8" s="371"/>
    </row>
    <row r="9" spans="1:14" x14ac:dyDescent="0.2">
      <c r="A9" s="5">
        <v>6</v>
      </c>
      <c r="B9" s="313" t="s">
        <v>254</v>
      </c>
      <c r="C9" s="316"/>
      <c r="D9" s="316"/>
      <c r="E9" s="314" t="s">
        <v>251</v>
      </c>
      <c r="F9" s="315">
        <v>37.5</v>
      </c>
      <c r="H9" s="324" t="str">
        <f>L19</f>
        <v>Keurig Dr Pepper</v>
      </c>
      <c r="I9" s="325">
        <f>_xlfn.COVARIANCE.P($M$22:$M$178,$U$22:$U$178)/_xlfn.VAR.P($U$22:$U$178)</f>
        <v>0.24309460153127865</v>
      </c>
      <c r="J9" s="326">
        <f>RSQ($M$22:$M$178,$U$22:$U$178)</f>
        <v>2.7444678729762056E-4</v>
      </c>
      <c r="K9" s="372"/>
      <c r="L9" s="26"/>
    </row>
    <row r="10" spans="1:14" x14ac:dyDescent="0.2">
      <c r="A10" s="5">
        <v>7</v>
      </c>
      <c r="B10" s="324" t="s">
        <v>253</v>
      </c>
      <c r="C10" s="324"/>
      <c r="D10" s="324"/>
      <c r="E10" s="330"/>
      <c r="F10" s="327" t="s">
        <v>248</v>
      </c>
      <c r="H10" s="5" t="str">
        <f>N19</f>
        <v>Kraft Heinz</v>
      </c>
      <c r="I10" s="264">
        <f>_xlfn.COVARIANCE.P($O$22:$O$178,$U$22:$U$178)/_xlfn.VAR.P($U$22:$U$178)</f>
        <v>0.79741098709628822</v>
      </c>
      <c r="J10" s="323">
        <f>RSQ($O$22:$O$178,$U$22:$U$178)</f>
        <v>0.24858799110756985</v>
      </c>
    </row>
    <row r="11" spans="1:14" x14ac:dyDescent="0.2">
      <c r="A11" s="5">
        <v>8</v>
      </c>
      <c r="B11" s="313" t="s">
        <v>252</v>
      </c>
      <c r="C11" s="313"/>
      <c r="D11" s="313"/>
      <c r="E11" s="314" t="s">
        <v>251</v>
      </c>
      <c r="F11" s="315">
        <v>80.11</v>
      </c>
      <c r="H11" s="5" t="str">
        <f>P19</f>
        <v>Mondelez</v>
      </c>
      <c r="I11" s="264">
        <f>_xlfn.COVARIANCE.P($Q$22:$Q$178,$U$22:$U$178)/_xlfn.VAR.P($U$22:$U$178)</f>
        <v>0.75717638324044412</v>
      </c>
      <c r="J11" s="323">
        <f>RSQ($Q$22:$Q$178,$U$22:$U$178)</f>
        <v>0.51678726028970667</v>
      </c>
    </row>
    <row r="12" spans="1:14" x14ac:dyDescent="0.2">
      <c r="A12" s="5">
        <v>9</v>
      </c>
      <c r="B12" s="313" t="s">
        <v>275</v>
      </c>
      <c r="C12" s="313"/>
      <c r="D12" s="313"/>
      <c r="E12" s="313" t="s">
        <v>251</v>
      </c>
      <c r="F12" s="315">
        <v>40.9</v>
      </c>
      <c r="H12" s="265" t="str">
        <f>R19</f>
        <v>Monster Beverage</v>
      </c>
      <c r="I12" s="264">
        <f>_xlfn.COVARIANCE.P($S$22:$S$178,$U$22:$U$178)/_xlfn.VAR.P($U$22:$U$178)</f>
        <v>1.0248663942381186</v>
      </c>
      <c r="J12" s="323">
        <f>RSQ($S$22:$S$178,$U$22:$U$178)</f>
        <v>0.48482729008562969</v>
      </c>
    </row>
    <row r="13" spans="1:14" x14ac:dyDescent="0.2">
      <c r="A13" s="5">
        <v>10</v>
      </c>
      <c r="B13" s="324" t="s">
        <v>250</v>
      </c>
      <c r="C13" s="324"/>
      <c r="D13" s="324"/>
      <c r="E13" s="324" t="s">
        <v>76</v>
      </c>
      <c r="F13" s="327">
        <v>301</v>
      </c>
      <c r="H13" s="5" t="s">
        <v>66</v>
      </c>
    </row>
    <row r="14" spans="1:14" x14ac:dyDescent="0.2">
      <c r="A14" s="5">
        <v>11</v>
      </c>
      <c r="B14" s="328" t="s">
        <v>249</v>
      </c>
      <c r="C14" s="328"/>
      <c r="D14" s="328"/>
      <c r="E14" s="328" t="s">
        <v>76</v>
      </c>
      <c r="F14" s="329" t="s">
        <v>248</v>
      </c>
    </row>
    <row r="15" spans="1:14" x14ac:dyDescent="0.2">
      <c r="B15" s="180" t="s">
        <v>247</v>
      </c>
    </row>
    <row r="16" spans="1:14" x14ac:dyDescent="0.2">
      <c r="B16" s="27"/>
      <c r="D16" s="27"/>
    </row>
    <row r="17" spans="1:21" x14ac:dyDescent="0.2">
      <c r="B17" s="27"/>
      <c r="D17" s="27"/>
      <c r="F17" s="27"/>
      <c r="H17" s="27"/>
      <c r="J17" s="27"/>
    </row>
    <row r="18" spans="1:21" x14ac:dyDescent="0.2">
      <c r="B18" s="27"/>
      <c r="D18" s="27"/>
      <c r="F18" s="27"/>
      <c r="H18" s="27"/>
      <c r="J18" s="27"/>
    </row>
    <row r="19" spans="1:21" s="26" customFormat="1" x14ac:dyDescent="0.2">
      <c r="A19" s="29" t="s">
        <v>48</v>
      </c>
      <c r="B19" s="369" t="s">
        <v>269</v>
      </c>
      <c r="C19" s="370"/>
      <c r="D19" s="321" t="s">
        <v>245</v>
      </c>
      <c r="E19" s="322"/>
      <c r="F19" s="369" t="s">
        <v>263</v>
      </c>
      <c r="G19" s="370"/>
      <c r="H19" s="369" t="s">
        <v>264</v>
      </c>
      <c r="I19" s="370"/>
      <c r="J19" s="369" t="s">
        <v>265</v>
      </c>
      <c r="K19" s="370"/>
      <c r="L19" s="369" t="s">
        <v>246</v>
      </c>
      <c r="M19" s="370"/>
      <c r="N19" s="369" t="s">
        <v>266</v>
      </c>
      <c r="O19" s="370"/>
      <c r="P19" s="369" t="s">
        <v>267</v>
      </c>
      <c r="Q19" s="370"/>
      <c r="R19" s="369" t="s">
        <v>276</v>
      </c>
      <c r="S19" s="370"/>
      <c r="T19" s="373" t="s">
        <v>268</v>
      </c>
      <c r="U19" s="374"/>
    </row>
    <row r="20" spans="1:21" s="26" customFormat="1" x14ac:dyDescent="0.2">
      <c r="A20" s="63"/>
      <c r="B20" s="317" t="s">
        <v>49</v>
      </c>
      <c r="C20" s="318" t="s">
        <v>50</v>
      </c>
      <c r="D20" s="317" t="s">
        <v>49</v>
      </c>
      <c r="E20" s="318" t="s">
        <v>50</v>
      </c>
      <c r="F20" s="317" t="s">
        <v>49</v>
      </c>
      <c r="G20" s="318" t="s">
        <v>50</v>
      </c>
      <c r="H20" s="317" t="s">
        <v>49</v>
      </c>
      <c r="I20" s="318" t="s">
        <v>50</v>
      </c>
      <c r="J20" s="317" t="s">
        <v>49</v>
      </c>
      <c r="K20" s="318" t="s">
        <v>50</v>
      </c>
      <c r="L20" s="317" t="s">
        <v>49</v>
      </c>
      <c r="M20" s="318" t="s">
        <v>50</v>
      </c>
      <c r="N20" s="317" t="s">
        <v>49</v>
      </c>
      <c r="O20" s="318" t="s">
        <v>50</v>
      </c>
      <c r="P20" s="317" t="s">
        <v>49</v>
      </c>
      <c r="Q20" s="318" t="s">
        <v>50</v>
      </c>
      <c r="R20" s="317" t="s">
        <v>49</v>
      </c>
      <c r="S20" s="318" t="s">
        <v>50</v>
      </c>
      <c r="T20" s="319" t="s">
        <v>49</v>
      </c>
      <c r="U20" s="320" t="s">
        <v>50</v>
      </c>
    </row>
    <row r="21" spans="1:21" x14ac:dyDescent="0.2">
      <c r="A21" s="223">
        <v>43003</v>
      </c>
      <c r="B21" s="1">
        <v>101.79426599999999</v>
      </c>
      <c r="C21" s="27"/>
      <c r="D21" s="258">
        <v>40.759349999999998</v>
      </c>
      <c r="E21" s="27"/>
      <c r="F21" s="258">
        <v>42.145781999999997</v>
      </c>
      <c r="G21" s="27"/>
      <c r="H21" s="258">
        <v>31.164027999999998</v>
      </c>
      <c r="I21" s="27"/>
      <c r="J21" s="258">
        <v>56.095238000000002</v>
      </c>
      <c r="K21" s="27"/>
      <c r="L21" s="258">
        <v>13.319406000000001</v>
      </c>
      <c r="M21" s="27"/>
      <c r="N21" s="258">
        <v>67.020522999999997</v>
      </c>
      <c r="O21" s="168"/>
      <c r="P21" s="258">
        <v>37.858840999999998</v>
      </c>
      <c r="R21" s="258">
        <v>55.25</v>
      </c>
      <c r="T21" s="259">
        <v>2519.360107</v>
      </c>
    </row>
    <row r="22" spans="1:21" x14ac:dyDescent="0.2">
      <c r="A22" s="223">
        <v>43010</v>
      </c>
      <c r="B22" s="1">
        <v>100.85334</v>
      </c>
      <c r="C22" s="27">
        <f>B22/B21-1</f>
        <v>-9.2434086611518085E-3</v>
      </c>
      <c r="D22" s="258">
        <v>41.194015999999998</v>
      </c>
      <c r="E22" s="27">
        <f>D22/D21-1</f>
        <v>1.0664203428170538E-2</v>
      </c>
      <c r="F22" s="258">
        <v>41.839733000000003</v>
      </c>
      <c r="G22" s="27">
        <f>F22/F21-1</f>
        <v>-7.2616756761090251E-3</v>
      </c>
      <c r="H22" s="258">
        <v>31.478076999999999</v>
      </c>
      <c r="I22" s="27">
        <f>H22/H21-1</f>
        <v>1.0077291677442979E-2</v>
      </c>
      <c r="J22" s="258">
        <v>56.122222999999998</v>
      </c>
      <c r="K22" s="27">
        <f>J22/J21-1</f>
        <v>4.8105687687782783E-4</v>
      </c>
      <c r="L22" s="258">
        <v>13.287788000000001</v>
      </c>
      <c r="M22" s="27">
        <f>L22/L21-1</f>
        <v>-2.373829583691589E-3</v>
      </c>
      <c r="N22" s="258">
        <v>67.564987000000002</v>
      </c>
      <c r="O22" s="27">
        <f>N22/N21-1</f>
        <v>8.1238399169163422E-3</v>
      </c>
      <c r="P22" s="258">
        <v>38.505268000000001</v>
      </c>
      <c r="Q22" s="27">
        <f>P22/P21-1</f>
        <v>1.7074664277229257E-2</v>
      </c>
      <c r="R22" s="258">
        <v>55.369999</v>
      </c>
      <c r="S22" s="27">
        <f>R22/R21-1</f>
        <v>2.1719276018099531E-3</v>
      </c>
      <c r="T22" s="259">
        <v>2549.330078</v>
      </c>
      <c r="U22" s="27">
        <f>T22/T21-1</f>
        <v>1.1895866302212621E-2</v>
      </c>
    </row>
    <row r="23" spans="1:21" x14ac:dyDescent="0.2">
      <c r="A23" s="223">
        <v>43017</v>
      </c>
      <c r="B23" s="1">
        <v>102.881371</v>
      </c>
      <c r="C23" s="27">
        <f t="shared" ref="C23:E86" si="0">B23/B22-1</f>
        <v>2.0108714297414343E-2</v>
      </c>
      <c r="D23" s="258">
        <v>41.818854999999999</v>
      </c>
      <c r="E23" s="27">
        <f t="shared" si="0"/>
        <v>1.5168198215973927E-2</v>
      </c>
      <c r="F23" s="258">
        <v>41.569682999999998</v>
      </c>
      <c r="G23" s="27">
        <f t="shared" ref="G23" si="1">F23/F22-1</f>
        <v>-6.4543910927922221E-3</v>
      </c>
      <c r="H23" s="258">
        <v>31.708985999999999</v>
      </c>
      <c r="I23" s="27">
        <f t="shared" ref="I23" si="2">H23/H22-1</f>
        <v>7.3355497541987003E-3</v>
      </c>
      <c r="J23" s="258">
        <v>55.726489999999998</v>
      </c>
      <c r="K23" s="27">
        <f t="shared" ref="K23" si="3">J23/J22-1</f>
        <v>-7.0512709377175131E-3</v>
      </c>
      <c r="L23" s="258">
        <v>13.436839000000001</v>
      </c>
      <c r="M23" s="27">
        <f t="shared" ref="M23" si="4">L23/L22-1</f>
        <v>1.121714163410803E-2</v>
      </c>
      <c r="N23" s="258">
        <v>67.184714999999997</v>
      </c>
      <c r="O23" s="27">
        <f t="shared" ref="O23" si="5">N23/N22-1</f>
        <v>-5.6282405560147408E-3</v>
      </c>
      <c r="P23" s="258">
        <v>39.020153000000001</v>
      </c>
      <c r="Q23" s="27">
        <f t="shared" ref="Q23" si="6">P23/P22-1</f>
        <v>1.3371806683698528E-2</v>
      </c>
      <c r="R23" s="258">
        <v>55.830002</v>
      </c>
      <c r="S23" s="27">
        <f t="shared" ref="S23" si="7">R23/R22-1</f>
        <v>8.3078022089182468E-3</v>
      </c>
      <c r="T23" s="259">
        <v>2553.169922</v>
      </c>
      <c r="U23" s="27">
        <f t="shared" ref="U23" si="8">T23/T22-1</f>
        <v>1.5062168815003218E-3</v>
      </c>
    </row>
    <row r="24" spans="1:21" x14ac:dyDescent="0.2">
      <c r="A24" s="223">
        <v>43024</v>
      </c>
      <c r="B24" s="1">
        <v>101.95871699999999</v>
      </c>
      <c r="C24" s="27">
        <f t="shared" si="0"/>
        <v>-8.9681347656225263E-3</v>
      </c>
      <c r="D24" s="258">
        <v>41.999969</v>
      </c>
      <c r="E24" s="27">
        <f t="shared" si="0"/>
        <v>4.3309172381693628E-3</v>
      </c>
      <c r="F24" s="258">
        <v>41.699725999999998</v>
      </c>
      <c r="G24" s="27">
        <f t="shared" ref="G24" si="9">F24/F23-1</f>
        <v>3.1283134874999785E-3</v>
      </c>
      <c r="H24" s="258">
        <v>31.321048999999999</v>
      </c>
      <c r="I24" s="27">
        <f t="shared" ref="I24" si="10">H24/H23-1</f>
        <v>-1.2234292197170871E-2</v>
      </c>
      <c r="J24" s="258">
        <v>55.267806999999998</v>
      </c>
      <c r="K24" s="27">
        <f t="shared" ref="K24" si="11">J24/J23-1</f>
        <v>-8.2309687906056972E-3</v>
      </c>
      <c r="L24" s="258">
        <v>13.403714000000001</v>
      </c>
      <c r="M24" s="27">
        <f t="shared" ref="M24" si="12">L24/L23-1</f>
        <v>-2.4652375458246167E-3</v>
      </c>
      <c r="N24" s="258">
        <v>66.294578999999999</v>
      </c>
      <c r="O24" s="27">
        <f t="shared" ref="O24" si="13">N24/N23-1</f>
        <v>-1.3249085003932737E-2</v>
      </c>
      <c r="P24" s="258">
        <v>38.402282999999997</v>
      </c>
      <c r="Q24" s="27">
        <f t="shared" ref="Q24" si="14">P24/P23-1</f>
        <v>-1.5834638065104545E-2</v>
      </c>
      <c r="R24" s="258">
        <v>56.459999000000003</v>
      </c>
      <c r="S24" s="27">
        <f t="shared" ref="S24" si="15">R24/R23-1</f>
        <v>1.1284201637678626E-2</v>
      </c>
      <c r="T24" s="259">
        <v>2575.209961</v>
      </c>
      <c r="U24" s="27">
        <f t="shared" ref="U24" si="16">T24/T23-1</f>
        <v>8.6324215282682637E-3</v>
      </c>
    </row>
    <row r="25" spans="1:21" x14ac:dyDescent="0.2">
      <c r="A25" s="223">
        <v>43031</v>
      </c>
      <c r="B25" s="1">
        <v>101.036041</v>
      </c>
      <c r="C25" s="27">
        <f t="shared" si="0"/>
        <v>-9.0495057916430977E-3</v>
      </c>
      <c r="D25" s="258">
        <v>41.719242000000001</v>
      </c>
      <c r="E25" s="27">
        <f t="shared" si="0"/>
        <v>-6.683981123890792E-3</v>
      </c>
      <c r="F25" s="258">
        <v>43.659087999999997</v>
      </c>
      <c r="G25" s="27">
        <f t="shared" ref="G25" si="17">F25/F24-1</f>
        <v>4.69874070635381E-2</v>
      </c>
      <c r="H25" s="258">
        <v>31.117847000000001</v>
      </c>
      <c r="I25" s="27">
        <f t="shared" ref="I25" si="18">H25/H24-1</f>
        <v>-6.487713741643808E-3</v>
      </c>
      <c r="J25" s="258">
        <v>54.197513999999998</v>
      </c>
      <c r="K25" s="27">
        <f t="shared" ref="K25" si="19">J25/J24-1</f>
        <v>-1.9365577505183085E-2</v>
      </c>
      <c r="L25" s="258">
        <v>12.909903999999999</v>
      </c>
      <c r="M25" s="27">
        <f t="shared" ref="M25" si="20">L25/L24-1</f>
        <v>-3.6841281453782293E-2</v>
      </c>
      <c r="N25" s="258">
        <v>66.804466000000005</v>
      </c>
      <c r="O25" s="27">
        <f t="shared" ref="O25" si="21">N25/N24-1</f>
        <v>7.6912321895883373E-3</v>
      </c>
      <c r="P25" s="258">
        <v>38.083976999999997</v>
      </c>
      <c r="Q25" s="27">
        <f t="shared" ref="Q25" si="22">P25/P24-1</f>
        <v>-8.2887259593394935E-3</v>
      </c>
      <c r="R25" s="258">
        <v>56.75</v>
      </c>
      <c r="S25" s="27">
        <f t="shared" ref="S25" si="23">R25/R24-1</f>
        <v>5.136397540495885E-3</v>
      </c>
      <c r="T25" s="259">
        <v>2581.070068</v>
      </c>
      <c r="U25" s="27">
        <f t="shared" ref="U25" si="24">T25/T24-1</f>
        <v>2.2755841615820227E-3</v>
      </c>
    </row>
    <row r="26" spans="1:21" x14ac:dyDescent="0.2">
      <c r="A26" s="223">
        <v>43038</v>
      </c>
      <c r="B26" s="1">
        <v>100.688919</v>
      </c>
      <c r="C26" s="27">
        <f t="shared" si="0"/>
        <v>-3.4356255110985501E-3</v>
      </c>
      <c r="D26" s="258">
        <v>41.628681</v>
      </c>
      <c r="E26" s="27">
        <f t="shared" si="0"/>
        <v>-2.1707249618773128E-3</v>
      </c>
      <c r="F26" s="258">
        <v>42.162354000000001</v>
      </c>
      <c r="G26" s="27">
        <f t="shared" ref="G26" si="25">F26/F25-1</f>
        <v>-3.4282301087003808E-2</v>
      </c>
      <c r="H26" s="258">
        <v>31.321048999999999</v>
      </c>
      <c r="I26" s="27">
        <f t="shared" ref="I26" si="26">H26/H25-1</f>
        <v>6.5300790250686358E-3</v>
      </c>
      <c r="J26" s="258">
        <v>55.726489999999998</v>
      </c>
      <c r="K26" s="27">
        <f t="shared" ref="K26" si="27">J26/J25-1</f>
        <v>2.8211183265712148E-2</v>
      </c>
      <c r="L26" s="258">
        <v>12.890328</v>
      </c>
      <c r="M26" s="27">
        <f t="shared" ref="M26" si="28">L26/L25-1</f>
        <v>-1.5163551952050991E-3</v>
      </c>
      <c r="N26" s="258">
        <v>67.409415999999993</v>
      </c>
      <c r="O26" s="27">
        <f t="shared" ref="O26" si="29">N26/N25-1</f>
        <v>9.0555323052801118E-3</v>
      </c>
      <c r="P26" s="258">
        <v>38.355476000000003</v>
      </c>
      <c r="Q26" s="27">
        <f t="shared" ref="Q26" si="30">P26/P25-1</f>
        <v>7.1289560961558252E-3</v>
      </c>
      <c r="R26" s="258">
        <v>57.669998</v>
      </c>
      <c r="S26" s="27">
        <f t="shared" ref="S26" si="31">R26/R25-1</f>
        <v>1.6211418502202646E-2</v>
      </c>
      <c r="T26" s="259">
        <v>2587.8400879999999</v>
      </c>
      <c r="U26" s="27">
        <f t="shared" ref="U26" si="32">T26/T25-1</f>
        <v>2.6229508775970078E-3</v>
      </c>
    </row>
    <row r="27" spans="1:21" x14ac:dyDescent="0.2">
      <c r="A27" s="223">
        <v>43045</v>
      </c>
      <c r="B27" s="1">
        <v>103.000137</v>
      </c>
      <c r="C27" s="27">
        <f t="shared" si="0"/>
        <v>2.2954045221202479E-2</v>
      </c>
      <c r="D27" s="258">
        <v>42.144855</v>
      </c>
      <c r="E27" s="27">
        <f t="shared" si="0"/>
        <v>1.239948006039393E-2</v>
      </c>
      <c r="F27" s="258">
        <v>43.015030000000003</v>
      </c>
      <c r="G27" s="27">
        <f t="shared" ref="G27" si="33">F27/F26-1</f>
        <v>2.0223633623492665E-2</v>
      </c>
      <c r="H27" s="258">
        <v>32.347136999999996</v>
      </c>
      <c r="I27" s="27">
        <f t="shared" ref="I27" si="34">H27/H26-1</f>
        <v>3.2760333154869592E-2</v>
      </c>
      <c r="J27" s="258">
        <v>58.190834000000002</v>
      </c>
      <c r="K27" s="27">
        <f t="shared" ref="K27" si="35">J27/J26-1</f>
        <v>4.4222128470678967E-2</v>
      </c>
      <c r="L27" s="258">
        <v>12.995718999999999</v>
      </c>
      <c r="M27" s="27">
        <f t="shared" ref="M27" si="36">L27/L26-1</f>
        <v>8.1759750411316556E-3</v>
      </c>
      <c r="N27" s="258">
        <v>68.895882</v>
      </c>
      <c r="O27" s="27">
        <f t="shared" ref="O27" si="37">N27/N26-1</f>
        <v>2.2051311051263234E-2</v>
      </c>
      <c r="P27" s="258">
        <v>39.272938000000003</v>
      </c>
      <c r="Q27" s="27">
        <f t="shared" ref="Q27" si="38">P27/P26-1</f>
        <v>2.3919974295195878E-2</v>
      </c>
      <c r="R27" s="258">
        <v>61.16</v>
      </c>
      <c r="S27" s="27">
        <f t="shared" ref="S27" si="39">R27/R26-1</f>
        <v>6.0516769915615276E-2</v>
      </c>
      <c r="T27" s="259">
        <v>2582.3000489999999</v>
      </c>
      <c r="U27" s="27">
        <f t="shared" ref="U27" si="40">T27/T26-1</f>
        <v>-2.1407964988600092E-3</v>
      </c>
    </row>
    <row r="28" spans="1:21" x14ac:dyDescent="0.2">
      <c r="A28" s="223">
        <v>43052</v>
      </c>
      <c r="B28" s="1">
        <v>104.763237</v>
      </c>
      <c r="C28" s="27">
        <f t="shared" si="0"/>
        <v>1.711745296028111E-2</v>
      </c>
      <c r="D28" s="258">
        <v>41.393237999999997</v>
      </c>
      <c r="E28" s="27">
        <f t="shared" si="0"/>
        <v>-1.7834134202146412E-2</v>
      </c>
      <c r="F28" s="258">
        <v>45.101382999999998</v>
      </c>
      <c r="G28" s="27">
        <f t="shared" ref="G28" si="41">F28/F27-1</f>
        <v>4.8502883759467208E-2</v>
      </c>
      <c r="H28" s="258">
        <v>33.192993000000001</v>
      </c>
      <c r="I28" s="27">
        <f t="shared" ref="I28" si="42">H28/H27-1</f>
        <v>2.6149331237568463E-2</v>
      </c>
      <c r="J28" s="258">
        <v>58.784435000000002</v>
      </c>
      <c r="K28" s="27">
        <f t="shared" ref="K28" si="43">J28/J27-1</f>
        <v>1.0200936456762344E-2</v>
      </c>
      <c r="L28" s="258">
        <v>13.137236</v>
      </c>
      <c r="M28" s="27">
        <f t="shared" ref="M28" si="44">L28/L27-1</f>
        <v>1.0889509076027259E-2</v>
      </c>
      <c r="N28" s="258">
        <v>68.818107999999995</v>
      </c>
      <c r="O28" s="27">
        <f t="shared" ref="O28" si="45">N28/N27-1</f>
        <v>-1.1288628252121846E-3</v>
      </c>
      <c r="P28" s="258">
        <v>39.600594000000001</v>
      </c>
      <c r="Q28" s="27">
        <f t="shared" ref="Q28" si="46">P28/P27-1</f>
        <v>8.3430478259609586E-3</v>
      </c>
      <c r="R28" s="258">
        <v>62.169998</v>
      </c>
      <c r="S28" s="27">
        <f t="shared" ref="S28" si="47">R28/R27-1</f>
        <v>1.6514028776978495E-2</v>
      </c>
      <c r="T28" s="259">
        <v>2578.8500979999999</v>
      </c>
      <c r="U28" s="27">
        <f t="shared" ref="U28" si="48">T28/T27-1</f>
        <v>-1.3359992775959784E-3</v>
      </c>
    </row>
    <row r="29" spans="1:21" x14ac:dyDescent="0.2">
      <c r="A29" s="223">
        <v>43059</v>
      </c>
      <c r="B29" s="1">
        <v>105.877747</v>
      </c>
      <c r="C29" s="27">
        <f t="shared" si="0"/>
        <v>1.0638369259246883E-2</v>
      </c>
      <c r="D29" s="258">
        <v>41.547176</v>
      </c>
      <c r="E29" s="27">
        <f t="shared" si="0"/>
        <v>3.7189166017890241E-3</v>
      </c>
      <c r="F29" s="258">
        <v>41.763226000000003</v>
      </c>
      <c r="G29" s="27">
        <f t="shared" ref="G29" si="49">F29/F28-1</f>
        <v>-7.4014515253334801E-2</v>
      </c>
      <c r="H29" s="258">
        <v>32.960613000000002</v>
      </c>
      <c r="I29" s="27">
        <f t="shared" ref="I29" si="50">H29/H28-1</f>
        <v>-7.0008751545845849E-3</v>
      </c>
      <c r="J29" s="258">
        <v>58.397700999999998</v>
      </c>
      <c r="K29" s="27">
        <f t="shared" ref="K29" si="51">J29/J28-1</f>
        <v>-6.5788503368281459E-3</v>
      </c>
      <c r="L29" s="258">
        <v>13.031851</v>
      </c>
      <c r="M29" s="27">
        <f t="shared" ref="M29" si="52">L29/L28-1</f>
        <v>-8.0218548254746835E-3</v>
      </c>
      <c r="N29" s="258">
        <v>69.481682000000006</v>
      </c>
      <c r="O29" s="27">
        <f t="shared" ref="O29" si="53">N29/N28-1</f>
        <v>9.6424330642743694E-3</v>
      </c>
      <c r="P29" s="258">
        <v>39.460175</v>
      </c>
      <c r="Q29" s="27">
        <f t="shared" ref="Q29" si="54">P29/P28-1</f>
        <v>-3.5458811552170344E-3</v>
      </c>
      <c r="R29" s="258">
        <v>61.75</v>
      </c>
      <c r="S29" s="27">
        <f t="shared" ref="S29" si="55">R29/R28-1</f>
        <v>-6.7556379847398818E-3</v>
      </c>
      <c r="T29" s="259">
        <v>2602.419922</v>
      </c>
      <c r="U29" s="27">
        <f t="shared" ref="U29" si="56">T29/T28-1</f>
        <v>9.13966423185264E-3</v>
      </c>
    </row>
    <row r="30" spans="1:21" x14ac:dyDescent="0.2">
      <c r="A30" s="223">
        <v>43066</v>
      </c>
      <c r="B30" s="1">
        <v>106.681641</v>
      </c>
      <c r="C30" s="27">
        <f t="shared" si="0"/>
        <v>7.59266250725954E-3</v>
      </c>
      <c r="D30" s="258">
        <v>41.628681</v>
      </c>
      <c r="E30" s="27">
        <f t="shared" si="0"/>
        <v>1.961745847659957E-3</v>
      </c>
      <c r="F30" s="258">
        <v>44.647826999999999</v>
      </c>
      <c r="G30" s="27">
        <f t="shared" ref="G30" si="57">F30/F29-1</f>
        <v>6.9070358693075873E-2</v>
      </c>
      <c r="H30" s="258">
        <v>34.828944999999997</v>
      </c>
      <c r="I30" s="27">
        <f t="shared" ref="I30" si="58">H30/H29-1</f>
        <v>5.6683775875163267E-2</v>
      </c>
      <c r="J30" s="258">
        <v>59.351050999999998</v>
      </c>
      <c r="K30" s="27">
        <f t="shared" ref="K30" si="59">J30/J29-1</f>
        <v>1.6325128963552871E-2</v>
      </c>
      <c r="L30" s="258">
        <v>13.588896999999999</v>
      </c>
      <c r="M30" s="27">
        <f t="shared" ref="M30" si="60">L30/L29-1</f>
        <v>4.2744963858165619E-2</v>
      </c>
      <c r="N30" s="258">
        <v>70.744834999999995</v>
      </c>
      <c r="O30" s="27">
        <f t="shared" ref="O30" si="61">N30/N29-1</f>
        <v>1.8179654890910557E-2</v>
      </c>
      <c r="P30" s="258">
        <v>40.181033999999997</v>
      </c>
      <c r="Q30" s="27">
        <f t="shared" ref="Q30" si="62">P30/P29-1</f>
        <v>1.8268013256403481E-2</v>
      </c>
      <c r="R30" s="258">
        <v>62.919998</v>
      </c>
      <c r="S30" s="27">
        <f t="shared" ref="S30" si="63">R30/R29-1</f>
        <v>1.8947336032388629E-2</v>
      </c>
      <c r="T30" s="259">
        <v>2642.219971</v>
      </c>
      <c r="U30" s="27">
        <f t="shared" ref="U30" si="64">T30/T29-1</f>
        <v>1.5293476914906456E-2</v>
      </c>
    </row>
    <row r="31" spans="1:21" x14ac:dyDescent="0.2">
      <c r="A31" s="223">
        <v>43073</v>
      </c>
      <c r="B31" s="1">
        <v>107.22859200000001</v>
      </c>
      <c r="C31" s="27">
        <f t="shared" si="0"/>
        <v>5.1269458819067637E-3</v>
      </c>
      <c r="D31" s="258">
        <v>41.367415999999999</v>
      </c>
      <c r="E31" s="27">
        <f t="shared" si="0"/>
        <v>-6.2760816274721742E-3</v>
      </c>
      <c r="F31" s="258">
        <v>44.402907999999996</v>
      </c>
      <c r="G31" s="27">
        <f t="shared" ref="G31" si="65">F31/F30-1</f>
        <v>-5.4855749194693271E-3</v>
      </c>
      <c r="H31" s="258">
        <v>34.624447000000004</v>
      </c>
      <c r="I31" s="27">
        <f t="shared" ref="I31" si="66">H31/H30-1</f>
        <v>-5.871495676943228E-3</v>
      </c>
      <c r="J31" s="258">
        <v>60.324379</v>
      </c>
      <c r="K31" s="27">
        <f t="shared" ref="K31" si="67">J31/J30-1</f>
        <v>1.6399507398782154E-2</v>
      </c>
      <c r="L31" s="258">
        <v>14.174545999999999</v>
      </c>
      <c r="M31" s="27">
        <f t="shared" ref="M31" si="68">L31/L30-1</f>
        <v>4.3097611233641642E-2</v>
      </c>
      <c r="N31" s="258">
        <v>68.366630999999998</v>
      </c>
      <c r="O31" s="27">
        <f t="shared" ref="O31" si="69">N31/N30-1</f>
        <v>-3.361664494658867E-2</v>
      </c>
      <c r="P31" s="258">
        <v>39.928260999999999</v>
      </c>
      <c r="Q31" s="27">
        <f t="shared" ref="Q31" si="70">P31/P30-1</f>
        <v>-6.290853540503627E-3</v>
      </c>
      <c r="R31" s="258">
        <v>63.220001000000003</v>
      </c>
      <c r="S31" s="27">
        <f t="shared" ref="S31" si="71">R31/R30-1</f>
        <v>4.7680071445648231E-3</v>
      </c>
      <c r="T31" s="259">
        <v>2651.5</v>
      </c>
      <c r="U31" s="27">
        <f t="shared" ref="U31" si="72">T31/T30-1</f>
        <v>3.51220909002814E-3</v>
      </c>
    </row>
    <row r="32" spans="1:21" x14ac:dyDescent="0.2">
      <c r="A32" s="223">
        <v>43080</v>
      </c>
      <c r="B32" s="1">
        <v>109.666222</v>
      </c>
      <c r="C32" s="27">
        <f t="shared" si="0"/>
        <v>2.2733022550552651E-2</v>
      </c>
      <c r="D32" s="258">
        <v>42.170833999999999</v>
      </c>
      <c r="E32" s="27">
        <f t="shared" si="0"/>
        <v>1.9421517650510367E-2</v>
      </c>
      <c r="F32" s="258">
        <v>44.983455999999997</v>
      </c>
      <c r="G32" s="27">
        <f t="shared" ref="G32" si="73">F32/F31-1</f>
        <v>1.3074549081334874E-2</v>
      </c>
      <c r="H32" s="258">
        <v>35.098495</v>
      </c>
      <c r="I32" s="27">
        <f t="shared" ref="I32" si="74">H32/H31-1</f>
        <v>1.3691135630267137E-2</v>
      </c>
      <c r="J32" s="258">
        <v>58.928019999999997</v>
      </c>
      <c r="K32" s="27">
        <f t="shared" ref="K32" si="75">J32/J31-1</f>
        <v>-2.3147507245785404E-2</v>
      </c>
      <c r="L32" s="258">
        <v>14.139918</v>
      </c>
      <c r="M32" s="27">
        <f t="shared" ref="M32" si="76">L32/L31-1</f>
        <v>-2.4429706602242529E-3</v>
      </c>
      <c r="N32" s="258">
        <v>69.290047000000001</v>
      </c>
      <c r="O32" s="27">
        <f t="shared" ref="O32" si="77">N32/N31-1</f>
        <v>1.3506823233691456E-2</v>
      </c>
      <c r="P32" s="258">
        <v>40.611682999999999</v>
      </c>
      <c r="Q32" s="27">
        <f t="shared" ref="Q32" si="78">P32/P31-1</f>
        <v>1.7116247562096509E-2</v>
      </c>
      <c r="R32" s="258">
        <v>64.010002</v>
      </c>
      <c r="S32" s="27">
        <f t="shared" ref="S32" si="79">R32/R31-1</f>
        <v>1.2496061175323314E-2</v>
      </c>
      <c r="T32" s="259">
        <v>2675.8100589999999</v>
      </c>
      <c r="U32" s="27">
        <f t="shared" ref="U32" si="80">T32/T31-1</f>
        <v>9.1684174995285694E-3</v>
      </c>
    </row>
    <row r="33" spans="1:21" x14ac:dyDescent="0.2">
      <c r="A33" s="223">
        <v>43087</v>
      </c>
      <c r="B33" s="1">
        <v>109.09590900000001</v>
      </c>
      <c r="C33" s="27">
        <f t="shared" si="0"/>
        <v>-5.2004435786983105E-3</v>
      </c>
      <c r="D33" s="258">
        <v>41.623047</v>
      </c>
      <c r="E33" s="27">
        <f t="shared" si="0"/>
        <v>-1.298971227365342E-2</v>
      </c>
      <c r="F33" s="258">
        <v>44.239632</v>
      </c>
      <c r="G33" s="27">
        <f t="shared" ref="G33" si="81">F33/F32-1</f>
        <v>-1.6535501407450748E-2</v>
      </c>
      <c r="H33" s="258">
        <v>35.395947</v>
      </c>
      <c r="I33" s="27">
        <f t="shared" ref="I33" si="82">H33/H32-1</f>
        <v>8.4747793317063724E-3</v>
      </c>
      <c r="J33" s="258">
        <v>61.747931999999999</v>
      </c>
      <c r="K33" s="27">
        <f t="shared" ref="K33" si="83">J33/J32-1</f>
        <v>4.7853499913962816E-2</v>
      </c>
      <c r="L33" s="258">
        <v>14.560826</v>
      </c>
      <c r="M33" s="27">
        <f t="shared" ref="M33" si="84">L33/L32-1</f>
        <v>2.9767357915371218E-2</v>
      </c>
      <c r="N33" s="258">
        <v>68.157578000000001</v>
      </c>
      <c r="O33" s="27">
        <f t="shared" ref="O33" si="85">N33/N32-1</f>
        <v>-1.6343891352822992E-2</v>
      </c>
      <c r="P33" s="258">
        <v>40.592956999999998</v>
      </c>
      <c r="Q33" s="27">
        <f t="shared" ref="Q33" si="86">P33/P32-1</f>
        <v>-4.610988419269102E-4</v>
      </c>
      <c r="R33" s="258">
        <v>63.77</v>
      </c>
      <c r="S33" s="27">
        <f t="shared" ref="S33" si="87">R33/R32-1</f>
        <v>-3.7494452820044932E-3</v>
      </c>
      <c r="T33" s="259">
        <v>2683.3400879999999</v>
      </c>
      <c r="U33" s="27">
        <f t="shared" ref="U33" si="88">T33/T32-1</f>
        <v>2.8141119264699643E-3</v>
      </c>
    </row>
    <row r="34" spans="1:21" x14ac:dyDescent="0.2">
      <c r="A34" s="223">
        <v>43094</v>
      </c>
      <c r="B34" s="1">
        <v>110.310112</v>
      </c>
      <c r="C34" s="27">
        <f t="shared" si="0"/>
        <v>1.1129684065421808E-2</v>
      </c>
      <c r="D34" s="258">
        <v>41.887810000000002</v>
      </c>
      <c r="E34" s="27">
        <f t="shared" si="0"/>
        <v>6.3609711225611765E-3</v>
      </c>
      <c r="F34" s="258">
        <v>43.640934000000001</v>
      </c>
      <c r="G34" s="27">
        <f t="shared" ref="G34" si="89">F34/F33-1</f>
        <v>-1.353306917200392E-2</v>
      </c>
      <c r="H34" s="258">
        <v>35.014842999999999</v>
      </c>
      <c r="I34" s="27">
        <f t="shared" ref="I34" si="90">H34/H33-1</f>
        <v>-1.0766882434308123E-2</v>
      </c>
      <c r="J34" s="258">
        <v>61.639136999999998</v>
      </c>
      <c r="K34" s="27">
        <f t="shared" ref="K34" si="91">J34/J33-1</f>
        <v>-1.7619213547103163E-3</v>
      </c>
      <c r="L34" s="258">
        <v>14.703222</v>
      </c>
      <c r="M34" s="27">
        <f t="shared" ref="M34" si="92">L34/L33-1</f>
        <v>9.7793902626128748E-3</v>
      </c>
      <c r="N34" s="258">
        <v>67.739433000000005</v>
      </c>
      <c r="O34" s="27">
        <f t="shared" ref="O34" si="93">N34/N33-1</f>
        <v>-6.1349744558116814E-3</v>
      </c>
      <c r="P34" s="258">
        <v>40.068691000000001</v>
      </c>
      <c r="Q34" s="27">
        <f t="shared" ref="Q34" si="94">P34/P33-1</f>
        <v>-1.2915196101629056E-2</v>
      </c>
      <c r="R34" s="258">
        <v>63.290000999999997</v>
      </c>
      <c r="S34" s="27">
        <f t="shared" ref="S34" si="95">R34/R33-1</f>
        <v>-7.5270346557944068E-3</v>
      </c>
      <c r="T34" s="259">
        <v>2673.610107</v>
      </c>
      <c r="U34" s="27">
        <f t="shared" ref="U34" si="96">T34/T33-1</f>
        <v>-3.6260707479878196E-3</v>
      </c>
    </row>
    <row r="35" spans="1:21" x14ac:dyDescent="0.2">
      <c r="A35" s="223">
        <v>43101</v>
      </c>
      <c r="B35" s="1">
        <v>109.16029399999999</v>
      </c>
      <c r="C35" s="27">
        <f t="shared" si="0"/>
        <v>-1.0423504963896768E-2</v>
      </c>
      <c r="D35" s="258">
        <v>42.061275000000002</v>
      </c>
      <c r="E35" s="27">
        <f t="shared" si="0"/>
        <v>4.1411809306812764E-3</v>
      </c>
      <c r="F35" s="258">
        <v>42.897114000000002</v>
      </c>
      <c r="G35" s="27">
        <f t="shared" ref="G35" si="97">F35/F34-1</f>
        <v>-1.7044089844639898E-2</v>
      </c>
      <c r="H35" s="258">
        <v>35.377357000000003</v>
      </c>
      <c r="I35" s="27">
        <f t="shared" ref="I35" si="98">H35/H34-1</f>
        <v>1.0353152233183005E-2</v>
      </c>
      <c r="J35" s="258">
        <v>62.509579000000002</v>
      </c>
      <c r="K35" s="27">
        <f t="shared" ref="K35" si="99">J35/J34-1</f>
        <v>1.4121579930621131E-2</v>
      </c>
      <c r="L35" s="258">
        <v>14.466904</v>
      </c>
      <c r="M35" s="27">
        <f t="shared" ref="M35" si="100">L35/L34-1</f>
        <v>-1.6072531585253902E-2</v>
      </c>
      <c r="N35" s="258">
        <v>67.809112999999996</v>
      </c>
      <c r="O35" s="27">
        <f t="shared" ref="O35" si="101">N35/N34-1</f>
        <v>1.028647523518389E-3</v>
      </c>
      <c r="P35" s="258">
        <v>40.678168999999997</v>
      </c>
      <c r="Q35" s="27">
        <f t="shared" ref="Q35" si="102">P35/P34-1</f>
        <v>1.5210828823931211E-2</v>
      </c>
      <c r="R35" s="258">
        <v>63.490001999999997</v>
      </c>
      <c r="S35" s="27">
        <f t="shared" ref="S35" si="103">R35/R34-1</f>
        <v>3.1600726313782967E-3</v>
      </c>
      <c r="T35" s="259">
        <v>2743.1499020000001</v>
      </c>
      <c r="U35" s="27">
        <f t="shared" ref="U35" si="104">T35/T34-1</f>
        <v>2.6009699326738911E-2</v>
      </c>
    </row>
    <row r="36" spans="1:21" x14ac:dyDescent="0.2">
      <c r="A36" s="223">
        <v>43108</v>
      </c>
      <c r="B36" s="1">
        <v>107.973663</v>
      </c>
      <c r="C36" s="27">
        <f t="shared" si="0"/>
        <v>-1.087053686388928E-2</v>
      </c>
      <c r="D36" s="258">
        <v>42.134326999999999</v>
      </c>
      <c r="E36" s="27">
        <f t="shared" si="0"/>
        <v>1.7367994669681419E-3</v>
      </c>
      <c r="F36" s="258">
        <v>41.282459000000003</v>
      </c>
      <c r="G36" s="27">
        <f t="shared" ref="G36" si="105">F36/F35-1</f>
        <v>-3.7640177845064349E-2</v>
      </c>
      <c r="H36" s="258">
        <v>34.122509000000001</v>
      </c>
      <c r="I36" s="27">
        <f t="shared" ref="I36" si="106">H36/H35-1</f>
        <v>-3.5470371627818409E-2</v>
      </c>
      <c r="J36" s="258">
        <v>58.656002000000001</v>
      </c>
      <c r="K36" s="27">
        <f t="shared" ref="K36" si="107">J36/J35-1</f>
        <v>-6.1647783614092178E-2</v>
      </c>
      <c r="L36" s="258">
        <v>14.427519</v>
      </c>
      <c r="M36" s="27">
        <f t="shared" ref="M36" si="108">L36/L35-1</f>
        <v>-2.7224207750323748E-3</v>
      </c>
      <c r="N36" s="258">
        <v>67.382248000000004</v>
      </c>
      <c r="O36" s="27">
        <f t="shared" ref="O36" si="109">N36/N35-1</f>
        <v>-6.2950978285174486E-3</v>
      </c>
      <c r="P36" s="258">
        <v>39.963028000000001</v>
      </c>
      <c r="Q36" s="27">
        <f t="shared" ref="Q36" si="110">P36/P35-1</f>
        <v>-1.7580461893454302E-2</v>
      </c>
      <c r="R36" s="258">
        <v>63.77</v>
      </c>
      <c r="S36" s="27">
        <f t="shared" ref="S36" si="111">R36/R35-1</f>
        <v>4.4101116897115045E-3</v>
      </c>
      <c r="T36" s="259">
        <v>2786.23999</v>
      </c>
      <c r="U36" s="27">
        <f t="shared" ref="U36" si="112">T36/T35-1</f>
        <v>1.5708251294828335E-2</v>
      </c>
    </row>
    <row r="37" spans="1:21" x14ac:dyDescent="0.2">
      <c r="A37" s="223">
        <v>43115</v>
      </c>
      <c r="B37" s="1">
        <v>110.540085</v>
      </c>
      <c r="C37" s="27">
        <f t="shared" si="0"/>
        <v>2.3768962992392062E-2</v>
      </c>
      <c r="D37" s="258">
        <v>43.056438</v>
      </c>
      <c r="E37" s="27">
        <f t="shared" si="0"/>
        <v>2.1885029752581664E-2</v>
      </c>
      <c r="F37" s="258">
        <v>43.306049000000002</v>
      </c>
      <c r="G37" s="27">
        <f t="shared" ref="G37" si="113">F37/F36-1</f>
        <v>4.9018155628762328E-2</v>
      </c>
      <c r="H37" s="258">
        <v>35.107796</v>
      </c>
      <c r="I37" s="27">
        <f t="shared" ref="I37" si="114">H37/H36-1</f>
        <v>2.8874986889152909E-2</v>
      </c>
      <c r="J37" s="258">
        <v>60.405982999999999</v>
      </c>
      <c r="K37" s="27">
        <f t="shared" ref="K37" si="115">J37/J36-1</f>
        <v>2.9834645054737985E-2</v>
      </c>
      <c r="L37" s="258">
        <v>14.595668</v>
      </c>
      <c r="M37" s="27">
        <f t="shared" ref="M37" si="116">L37/L36-1</f>
        <v>1.1654741192855145E-2</v>
      </c>
      <c r="N37" s="258">
        <v>69.394569000000004</v>
      </c>
      <c r="O37" s="27">
        <f t="shared" ref="O37" si="117">N37/N36-1</f>
        <v>2.9864260390956465E-2</v>
      </c>
      <c r="P37" s="258">
        <v>41.534443000000003</v>
      </c>
      <c r="Q37" s="27">
        <f t="shared" ref="Q37" si="118">P37/P36-1</f>
        <v>3.932172006585688E-2</v>
      </c>
      <c r="R37" s="258">
        <v>66.860000999999997</v>
      </c>
      <c r="S37" s="27">
        <f t="shared" ref="S37" si="119">R37/R36-1</f>
        <v>4.8455402226752264E-2</v>
      </c>
      <c r="T37" s="259">
        <v>2810.3000489999999</v>
      </c>
      <c r="U37" s="27">
        <f t="shared" ref="U37" si="120">T37/T36-1</f>
        <v>8.6353146485418364E-3</v>
      </c>
    </row>
    <row r="38" spans="1:21" x14ac:dyDescent="0.2">
      <c r="A38" s="223">
        <v>43122</v>
      </c>
      <c r="B38" s="1">
        <v>112.00266999999999</v>
      </c>
      <c r="C38" s="27">
        <f t="shared" si="0"/>
        <v>1.3231263572847762E-2</v>
      </c>
      <c r="D38" s="258">
        <v>44.307228000000002</v>
      </c>
      <c r="E38" s="27">
        <f t="shared" si="0"/>
        <v>2.9050011057579761E-2</v>
      </c>
      <c r="F38" s="258">
        <v>43.260356999999999</v>
      </c>
      <c r="G38" s="27">
        <f t="shared" ref="G38" si="121">F38/F37-1</f>
        <v>-1.0550950976848661E-3</v>
      </c>
      <c r="H38" s="258">
        <v>35.786335000000001</v>
      </c>
      <c r="I38" s="27">
        <f t="shared" ref="I38" si="122">H38/H37-1</f>
        <v>1.9327302687984105E-2</v>
      </c>
      <c r="J38" s="258">
        <v>61.956477999999997</v>
      </c>
      <c r="K38" s="27">
        <f t="shared" ref="K38" si="123">J38/J37-1</f>
        <v>2.5667904452444601E-2</v>
      </c>
      <c r="L38" s="258">
        <v>14.489627</v>
      </c>
      <c r="M38" s="27">
        <f t="shared" ref="M38" si="124">L38/L37-1</f>
        <v>-7.2652378774303861E-3</v>
      </c>
      <c r="N38" s="258">
        <v>69.159369999999996</v>
      </c>
      <c r="O38" s="27">
        <f t="shared" ref="O38" si="125">N38/N37-1</f>
        <v>-3.3892998168201238E-3</v>
      </c>
      <c r="P38" s="258">
        <v>41.797916000000001</v>
      </c>
      <c r="Q38" s="27">
        <f t="shared" ref="Q38" si="126">P38/P37-1</f>
        <v>6.3434822034329486E-3</v>
      </c>
      <c r="R38" s="258">
        <v>68.910004000000001</v>
      </c>
      <c r="S38" s="27">
        <f t="shared" ref="S38" si="127">R38/R37-1</f>
        <v>3.0661127270997346E-2</v>
      </c>
      <c r="T38" s="259">
        <v>2872.8701169999999</v>
      </c>
      <c r="U38" s="27">
        <f t="shared" ref="U38" si="128">T38/T37-1</f>
        <v>2.2264550727337573E-2</v>
      </c>
    </row>
    <row r="39" spans="1:21" x14ac:dyDescent="0.2">
      <c r="A39" s="223">
        <v>43129</v>
      </c>
      <c r="B39" s="1">
        <v>109.16029399999999</v>
      </c>
      <c r="C39" s="27">
        <f t="shared" si="0"/>
        <v>-2.5377752155372746E-2</v>
      </c>
      <c r="D39" s="258">
        <v>42.663857</v>
      </c>
      <c r="E39" s="27">
        <f t="shared" si="0"/>
        <v>-3.709035916216652E-2</v>
      </c>
      <c r="F39" s="258">
        <v>40.756484999999998</v>
      </c>
      <c r="G39" s="27">
        <f t="shared" ref="G39" si="129">F39/F38-1</f>
        <v>-5.7879134007146615E-2</v>
      </c>
      <c r="H39" s="258">
        <v>34.122509000000001</v>
      </c>
      <c r="I39" s="27">
        <f t="shared" ref="I39" si="130">H39/H38-1</f>
        <v>-4.6493333279309046E-2</v>
      </c>
      <c r="J39" s="258">
        <v>59.345112</v>
      </c>
      <c r="K39" s="27">
        <f t="shared" ref="K39" si="131">J39/J38-1</f>
        <v>-4.2148393264058615E-2</v>
      </c>
      <c r="L39" s="258">
        <v>17.982893000000001</v>
      </c>
      <c r="M39" s="27">
        <f t="shared" ref="M39" si="132">L39/L38-1</f>
        <v>0.24108736546496323</v>
      </c>
      <c r="N39" s="258">
        <v>67.242867000000004</v>
      </c>
      <c r="O39" s="27">
        <f t="shared" ref="O39" si="133">N39/N38-1</f>
        <v>-2.7711400494249583E-2</v>
      </c>
      <c r="P39" s="258">
        <v>42.814174999999999</v>
      </c>
      <c r="Q39" s="27">
        <f t="shared" ref="Q39" si="134">P39/P38-1</f>
        <v>2.4313628459371017E-2</v>
      </c>
      <c r="R39" s="258">
        <v>66.629997000000003</v>
      </c>
      <c r="S39" s="27">
        <f t="shared" ref="S39" si="135">R39/R38-1</f>
        <v>-3.3086734402163143E-2</v>
      </c>
      <c r="T39" s="259">
        <v>2762.1298830000001</v>
      </c>
      <c r="U39" s="27">
        <f t="shared" ref="U39" si="136">T39/T38-1</f>
        <v>-3.8546898916419048E-2</v>
      </c>
    </row>
    <row r="40" spans="1:21" x14ac:dyDescent="0.2">
      <c r="A40" s="223">
        <v>43136</v>
      </c>
      <c r="B40" s="1">
        <v>102.270523</v>
      </c>
      <c r="C40" s="27">
        <f t="shared" si="0"/>
        <v>-6.3116090544790948E-2</v>
      </c>
      <c r="D40" s="258">
        <v>39.377094</v>
      </c>
      <c r="E40" s="27">
        <f t="shared" si="0"/>
        <v>-7.7038580923426636E-2</v>
      </c>
      <c r="F40" s="258">
        <v>41.789104000000002</v>
      </c>
      <c r="G40" s="27">
        <f t="shared" ref="G40" si="137">F40/F39-1</f>
        <v>2.5336311509689846E-2</v>
      </c>
      <c r="H40" s="258">
        <v>33.237018999999997</v>
      </c>
      <c r="I40" s="27">
        <f t="shared" ref="I40" si="138">H40/H39-1</f>
        <v>-2.5950319186669568E-2</v>
      </c>
      <c r="J40" s="258">
        <v>61.049759000000002</v>
      </c>
      <c r="K40" s="27">
        <f t="shared" ref="K40" si="139">J40/J39-1</f>
        <v>2.8724303359643155E-2</v>
      </c>
      <c r="L40" s="258">
        <v>17.679922000000001</v>
      </c>
      <c r="M40" s="27">
        <f t="shared" ref="M40" si="140">L40/L39-1</f>
        <v>-1.6847734121534286E-2</v>
      </c>
      <c r="N40" s="258">
        <v>62.181572000000003</v>
      </c>
      <c r="O40" s="27">
        <f t="shared" ref="O40" si="141">N40/N39-1</f>
        <v>-7.5268875730715057E-2</v>
      </c>
      <c r="P40" s="258">
        <v>39.652507999999997</v>
      </c>
      <c r="Q40" s="27">
        <f t="shared" ref="Q40" si="142">P40/P39-1</f>
        <v>-7.3846267036559721E-2</v>
      </c>
      <c r="R40" s="258">
        <v>62.889999000000003</v>
      </c>
      <c r="S40" s="27">
        <f t="shared" ref="S40" si="143">R40/R39-1</f>
        <v>-5.6130844490357656E-2</v>
      </c>
      <c r="T40" s="259">
        <v>2619.5500489999999</v>
      </c>
      <c r="U40" s="27">
        <f t="shared" ref="U40" si="144">T40/T39-1</f>
        <v>-5.1619525525404164E-2</v>
      </c>
    </row>
    <row r="41" spans="1:21" x14ac:dyDescent="0.2">
      <c r="A41" s="223">
        <v>43143</v>
      </c>
      <c r="B41" s="1">
        <v>102.16012600000001</v>
      </c>
      <c r="C41" s="27">
        <f t="shared" si="0"/>
        <v>-1.0794605988275752E-3</v>
      </c>
      <c r="D41" s="258">
        <v>41.066119999999998</v>
      </c>
      <c r="E41" s="27">
        <f t="shared" si="0"/>
        <v>4.2893617289279762E-2</v>
      </c>
      <c r="F41" s="258">
        <v>42.191181</v>
      </c>
      <c r="G41" s="27">
        <f t="shared" ref="G41" si="145">F41/F40-1</f>
        <v>9.6215750402306455E-3</v>
      </c>
      <c r="H41" s="258">
        <v>33.881946999999997</v>
      </c>
      <c r="I41" s="27">
        <f t="shared" ref="I41" si="146">H41/H40-1</f>
        <v>1.9403906228774526E-2</v>
      </c>
      <c r="J41" s="258">
        <v>63.162421999999999</v>
      </c>
      <c r="K41" s="27">
        <f t="shared" ref="K41" si="147">J41/J40-1</f>
        <v>3.4605591153930693E-2</v>
      </c>
      <c r="L41" s="258">
        <v>17.439057999999999</v>
      </c>
      <c r="M41" s="27">
        <f t="shared" ref="M41" si="148">L41/L40-1</f>
        <v>-1.3623589515836199E-2</v>
      </c>
      <c r="N41" s="258">
        <v>61.676322999999996</v>
      </c>
      <c r="O41" s="27">
        <f t="shared" ref="O41" si="149">N41/N40-1</f>
        <v>-8.1253815841131338E-3</v>
      </c>
      <c r="P41" s="258">
        <v>41.534443000000003</v>
      </c>
      <c r="Q41" s="27">
        <f t="shared" ref="Q41" si="150">P41/P40-1</f>
        <v>4.7460680166813374E-2</v>
      </c>
      <c r="R41" s="258">
        <v>65.480002999999996</v>
      </c>
      <c r="S41" s="27">
        <f t="shared" ref="S41" si="151">R41/R40-1</f>
        <v>4.1183082225839884E-2</v>
      </c>
      <c r="T41" s="259">
        <v>2732.219971</v>
      </c>
      <c r="U41" s="27">
        <f t="shared" ref="U41" si="152">T41/T40-1</f>
        <v>4.3011173633812128E-2</v>
      </c>
    </row>
    <row r="42" spans="1:21" x14ac:dyDescent="0.2">
      <c r="A42" s="223">
        <v>43150</v>
      </c>
      <c r="B42" s="1">
        <v>100.890717</v>
      </c>
      <c r="C42" s="27">
        <f t="shared" si="0"/>
        <v>-1.2425679662924516E-2</v>
      </c>
      <c r="D42" s="258">
        <v>40.207912</v>
      </c>
      <c r="E42" s="27">
        <f t="shared" si="0"/>
        <v>-2.0898200268250289E-2</v>
      </c>
      <c r="F42" s="258">
        <v>40.317844000000001</v>
      </c>
      <c r="G42" s="27">
        <f t="shared" ref="G42" si="153">F42/F41-1</f>
        <v>-4.440115103675335E-2</v>
      </c>
      <c r="H42" s="258">
        <v>33.909981000000002</v>
      </c>
      <c r="I42" s="27">
        <f t="shared" ref="I42" si="154">H42/H41-1</f>
        <v>8.2740227413746759E-4</v>
      </c>
      <c r="J42" s="258">
        <v>62.146903999999999</v>
      </c>
      <c r="K42" s="27">
        <f t="shared" ref="K42" si="155">J42/J41-1</f>
        <v>-1.6077882510585173E-2</v>
      </c>
      <c r="L42" s="258">
        <v>17.476928999999998</v>
      </c>
      <c r="M42" s="27">
        <f t="shared" ref="M42" si="156">L42/L41-1</f>
        <v>2.1716195909204927E-3</v>
      </c>
      <c r="N42" s="258">
        <v>60.125698</v>
      </c>
      <c r="O42" s="27">
        <f t="shared" ref="O42" si="157">N42/N41-1</f>
        <v>-2.5141333409256506E-2</v>
      </c>
      <c r="P42" s="258">
        <v>41.167468999999997</v>
      </c>
      <c r="Q42" s="27">
        <f t="shared" ref="Q42" si="158">P42/P41-1</f>
        <v>-8.8354140201183373E-3</v>
      </c>
      <c r="R42" s="258">
        <v>65.879997000000003</v>
      </c>
      <c r="S42" s="27">
        <f t="shared" ref="S42" si="159">R42/R41-1</f>
        <v>6.1086435808501705E-3</v>
      </c>
      <c r="T42" s="259">
        <v>2747.3000489999999</v>
      </c>
      <c r="U42" s="27">
        <f t="shared" ref="U42" si="160">T42/T41-1</f>
        <v>5.5193498913195249E-3</v>
      </c>
    </row>
    <row r="43" spans="1:21" x14ac:dyDescent="0.2">
      <c r="A43" s="223">
        <v>43157</v>
      </c>
      <c r="B43" s="1">
        <v>100.30199399999999</v>
      </c>
      <c r="C43" s="27">
        <f t="shared" si="0"/>
        <v>-5.8352543970918713E-3</v>
      </c>
      <c r="D43" s="258">
        <v>39.915764000000003</v>
      </c>
      <c r="E43" s="27">
        <f t="shared" si="0"/>
        <v>-7.2659331327624699E-3</v>
      </c>
      <c r="F43" s="258">
        <v>38.398823</v>
      </c>
      <c r="G43" s="27">
        <f t="shared" ref="G43" si="161">F43/F42-1</f>
        <v>-4.7597311999123759E-2</v>
      </c>
      <c r="H43" s="258">
        <v>34.461444999999998</v>
      </c>
      <c r="I43" s="27">
        <f t="shared" ref="I43" si="162">H43/H42-1</f>
        <v>1.6262586522829192E-2</v>
      </c>
      <c r="J43" s="258">
        <v>61.367106999999997</v>
      </c>
      <c r="K43" s="27">
        <f t="shared" ref="K43" si="163">J43/J42-1</f>
        <v>-1.2547640345848987E-2</v>
      </c>
      <c r="L43" s="258">
        <v>17.608723000000001</v>
      </c>
      <c r="M43" s="27">
        <f t="shared" ref="M43" si="164">L43/L42-1</f>
        <v>7.5410273738596434E-3</v>
      </c>
      <c r="N43" s="258">
        <v>58.514102999999999</v>
      </c>
      <c r="O43" s="27">
        <f t="shared" ref="O43" si="165">N43/N42-1</f>
        <v>-2.6803763675225856E-2</v>
      </c>
      <c r="P43" s="258">
        <v>41.797916000000001</v>
      </c>
      <c r="Q43" s="27">
        <f t="shared" ref="Q43" si="166">P43/P42-1</f>
        <v>1.5314203552324379E-2</v>
      </c>
      <c r="R43" s="258">
        <v>54.16</v>
      </c>
      <c r="S43" s="27">
        <f t="shared" ref="S43" si="167">R43/R42-1</f>
        <v>-0.17789917324981064</v>
      </c>
      <c r="T43" s="259">
        <v>2691.25</v>
      </c>
      <c r="U43" s="27">
        <f t="shared" ref="U43" si="168">T43/T42-1</f>
        <v>-2.040186656000742E-2</v>
      </c>
    </row>
    <row r="44" spans="1:21" x14ac:dyDescent="0.2">
      <c r="A44" s="223">
        <v>43164</v>
      </c>
      <c r="B44" s="1">
        <v>104.286598</v>
      </c>
      <c r="C44" s="27">
        <f t="shared" si="0"/>
        <v>3.9726069653211571E-2</v>
      </c>
      <c r="D44" s="258">
        <v>40.920051999999998</v>
      </c>
      <c r="E44" s="27">
        <f t="shared" si="0"/>
        <v>2.5160184833240118E-2</v>
      </c>
      <c r="F44" s="258">
        <v>39.851787999999999</v>
      </c>
      <c r="G44" s="27">
        <f t="shared" ref="G44" si="169">F44/F43-1</f>
        <v>3.7838790006662348E-2</v>
      </c>
      <c r="H44" s="258">
        <v>35.573703999999999</v>
      </c>
      <c r="I44" s="27">
        <f t="shared" ref="I44" si="170">H44/H43-1</f>
        <v>3.2275460300634551E-2</v>
      </c>
      <c r="J44" s="258">
        <v>64.215652000000006</v>
      </c>
      <c r="K44" s="27">
        <f t="shared" ref="K44" si="171">J44/J43-1</f>
        <v>4.6418107993912994E-2</v>
      </c>
      <c r="L44" s="258">
        <v>17.867761999999999</v>
      </c>
      <c r="M44" s="27">
        <f t="shared" ref="M44" si="172">L44/L43-1</f>
        <v>1.4710833942926937E-2</v>
      </c>
      <c r="N44" s="258">
        <v>58.566367999999997</v>
      </c>
      <c r="O44" s="27">
        <f t="shared" ref="O44" si="173">N44/N43-1</f>
        <v>8.9320347267385358E-4</v>
      </c>
      <c r="P44" s="258">
        <v>41.656779999999998</v>
      </c>
      <c r="Q44" s="27">
        <f t="shared" ref="Q44" si="174">P44/P43-1</f>
        <v>-3.3766276768441017E-3</v>
      </c>
      <c r="R44" s="258">
        <v>58.060001</v>
      </c>
      <c r="S44" s="27">
        <f t="shared" ref="S44" si="175">R44/R43-1</f>
        <v>7.2008881093057697E-2</v>
      </c>
      <c r="T44" s="259">
        <v>2786.570068</v>
      </c>
      <c r="U44" s="27">
        <f t="shared" ref="U44" si="176">T44/T43-1</f>
        <v>3.541851110078964E-2</v>
      </c>
    </row>
    <row r="45" spans="1:21" x14ac:dyDescent="0.2">
      <c r="A45" s="223">
        <v>43171</v>
      </c>
      <c r="B45" s="1">
        <v>103.452606</v>
      </c>
      <c r="C45" s="27">
        <f t="shared" si="0"/>
        <v>-7.997115794303622E-3</v>
      </c>
      <c r="D45" s="258">
        <v>39.678382999999997</v>
      </c>
      <c r="E45" s="27">
        <f t="shared" si="0"/>
        <v>-3.0343778644269626E-2</v>
      </c>
      <c r="F45" s="258">
        <v>39.824390000000001</v>
      </c>
      <c r="G45" s="27">
        <f t="shared" ref="G45" si="177">F45/F44-1</f>
        <v>-6.874973840570453E-4</v>
      </c>
      <c r="H45" s="258">
        <v>34.218432999999997</v>
      </c>
      <c r="I45" s="27">
        <f t="shared" ref="I45" si="178">H45/H44-1</f>
        <v>-3.8097550932565283E-2</v>
      </c>
      <c r="J45" s="258">
        <v>60.732922000000002</v>
      </c>
      <c r="K45" s="27">
        <f t="shared" ref="K45" si="179">J45/J44-1</f>
        <v>-5.4234908336677878E-2</v>
      </c>
      <c r="L45" s="258">
        <v>17.814741000000001</v>
      </c>
      <c r="M45" s="27">
        <f t="shared" ref="M45" si="180">L45/L44-1</f>
        <v>-2.9674113635494992E-3</v>
      </c>
      <c r="N45" s="258">
        <v>57.469794999999998</v>
      </c>
      <c r="O45" s="27">
        <f t="shared" ref="O45" si="181">N45/N44-1</f>
        <v>-1.8723595767454748E-2</v>
      </c>
      <c r="P45" s="258">
        <v>40.640521999999997</v>
      </c>
      <c r="Q45" s="27">
        <f t="shared" ref="Q45" si="182">P45/P44-1</f>
        <v>-2.4395980678295404E-2</v>
      </c>
      <c r="R45" s="258">
        <v>58.639999000000003</v>
      </c>
      <c r="S45" s="27">
        <f t="shared" ref="S45" si="183">R45/R44-1</f>
        <v>9.9896312437197654E-3</v>
      </c>
      <c r="T45" s="259">
        <v>2752.01001</v>
      </c>
      <c r="U45" s="27">
        <f t="shared" ref="U45" si="184">T45/T44-1</f>
        <v>-1.2402364611920458E-2</v>
      </c>
    </row>
    <row r="46" spans="1:21" x14ac:dyDescent="0.2">
      <c r="A46" s="223">
        <v>43178</v>
      </c>
      <c r="B46" s="1">
        <v>98.365218999999996</v>
      </c>
      <c r="C46" s="27">
        <f t="shared" si="0"/>
        <v>-4.9176015923658833E-2</v>
      </c>
      <c r="D46" s="258">
        <v>38.987869000000003</v>
      </c>
      <c r="E46" s="27">
        <f t="shared" si="0"/>
        <v>-1.7402775712911267E-2</v>
      </c>
      <c r="F46" s="258">
        <v>38.627274</v>
      </c>
      <c r="G46" s="27">
        <f t="shared" ref="G46" si="185">F46/F45-1</f>
        <v>-3.0059870345785611E-2</v>
      </c>
      <c r="H46" s="258">
        <v>33.180939000000002</v>
      </c>
      <c r="I46" s="27">
        <f t="shared" ref="I46" si="186">H46/H45-1</f>
        <v>-3.0319740240588922E-2</v>
      </c>
      <c r="J46" s="258">
        <v>57.542701999999998</v>
      </c>
      <c r="K46" s="27">
        <f t="shared" ref="K46" si="187">J46/J45-1</f>
        <v>-5.2528676291913046E-2</v>
      </c>
      <c r="L46" s="258">
        <v>17.867761999999999</v>
      </c>
      <c r="M46" s="27">
        <f t="shared" ref="M46" si="188">L46/L45-1</f>
        <v>2.9762431011484125E-3</v>
      </c>
      <c r="N46" s="258">
        <v>52.783222000000002</v>
      </c>
      <c r="O46" s="27">
        <f t="shared" ref="O46" si="189">N46/N45-1</f>
        <v>-8.1548455149352717E-2</v>
      </c>
      <c r="P46" s="258">
        <v>38.118721000000001</v>
      </c>
      <c r="Q46" s="27">
        <f t="shared" ref="Q46" si="190">P46/P45-1</f>
        <v>-6.2051392942246042E-2</v>
      </c>
      <c r="R46" s="258">
        <v>55.860000999999997</v>
      </c>
      <c r="S46" s="27">
        <f t="shared" ref="S46" si="191">R46/R45-1</f>
        <v>-4.7407879389629648E-2</v>
      </c>
      <c r="T46" s="259">
        <v>2588.26001</v>
      </c>
      <c r="U46" s="27">
        <f t="shared" ref="U46" si="192">T46/T45-1</f>
        <v>-5.9501963802813362E-2</v>
      </c>
    </row>
    <row r="47" spans="1:21" x14ac:dyDescent="0.2">
      <c r="A47" s="223">
        <v>43185</v>
      </c>
      <c r="B47" s="1">
        <v>101.145218</v>
      </c>
      <c r="C47" s="27">
        <f t="shared" si="0"/>
        <v>2.8262012002433501E-2</v>
      </c>
      <c r="D47" s="258">
        <v>40.001018999999999</v>
      </c>
      <c r="E47" s="27">
        <f t="shared" si="0"/>
        <v>2.5986288196464313E-2</v>
      </c>
      <c r="F47" s="258">
        <v>39.577643999999999</v>
      </c>
      <c r="G47" s="27">
        <f t="shared" ref="G47" si="193">F47/F46-1</f>
        <v>2.4603600036595896E-2</v>
      </c>
      <c r="H47" s="258">
        <v>34.470790999999998</v>
      </c>
      <c r="I47" s="27">
        <f t="shared" ref="I47" si="194">H47/H46-1</f>
        <v>3.8873282037015233E-2</v>
      </c>
      <c r="J47" s="258">
        <v>59.425750999999998</v>
      </c>
      <c r="K47" s="27">
        <f t="shared" ref="K47" si="195">J47/J46-1</f>
        <v>3.2724375716663534E-2</v>
      </c>
      <c r="L47" s="258">
        <v>18.02121</v>
      </c>
      <c r="M47" s="27">
        <f t="shared" ref="M47" si="196">L47/L46-1</f>
        <v>8.5879809681816965E-3</v>
      </c>
      <c r="N47" s="258">
        <v>54.770404999999997</v>
      </c>
      <c r="O47" s="27">
        <f t="shared" ref="O47" si="197">N47/N46-1</f>
        <v>3.7648004890644904E-2</v>
      </c>
      <c r="P47" s="258">
        <v>39.266711999999998</v>
      </c>
      <c r="Q47" s="27">
        <f t="shared" ref="Q47" si="198">P47/P46-1</f>
        <v>3.0116199334180083E-2</v>
      </c>
      <c r="R47" s="258">
        <v>57.209999000000003</v>
      </c>
      <c r="S47" s="27">
        <f t="shared" ref="S47" si="199">R47/R46-1</f>
        <v>2.4167525525107036E-2</v>
      </c>
      <c r="T47" s="259">
        <v>2640.8701169999999</v>
      </c>
      <c r="U47" s="27">
        <f t="shared" ref="U47" si="200">T47/T46-1</f>
        <v>2.0326438146374581E-2</v>
      </c>
    </row>
    <row r="48" spans="1:21" x14ac:dyDescent="0.2">
      <c r="A48" s="223">
        <v>43192</v>
      </c>
      <c r="B48" s="1">
        <v>101.284218</v>
      </c>
      <c r="C48" s="27">
        <f t="shared" si="0"/>
        <v>1.3742617075578334E-3</v>
      </c>
      <c r="D48" s="258">
        <v>40.452323999999997</v>
      </c>
      <c r="E48" s="27">
        <f t="shared" si="0"/>
        <v>1.1282337582450008E-2</v>
      </c>
      <c r="F48" s="258">
        <v>39.961460000000002</v>
      </c>
      <c r="G48" s="27">
        <f t="shared" ref="G48" si="201">F48/F47-1</f>
        <v>9.6977980801484787E-3</v>
      </c>
      <c r="H48" s="258">
        <v>34.339934999999997</v>
      </c>
      <c r="I48" s="27">
        <f t="shared" ref="I48" si="202">H48/H47-1</f>
        <v>-3.796141492662608E-3</v>
      </c>
      <c r="J48" s="258">
        <v>58.721893000000001</v>
      </c>
      <c r="K48" s="27">
        <f t="shared" ref="K48" si="203">J48/J47-1</f>
        <v>-1.1844326544564798E-2</v>
      </c>
      <c r="L48" s="258">
        <v>18.054701000000001</v>
      </c>
      <c r="M48" s="27">
        <f t="shared" ref="M48" si="204">L48/L47-1</f>
        <v>1.8584212713796955E-3</v>
      </c>
      <c r="N48" s="258">
        <v>53.231659000000001</v>
      </c>
      <c r="O48" s="27">
        <f t="shared" ref="O48" si="205">N48/N47-1</f>
        <v>-2.8094479126089977E-2</v>
      </c>
      <c r="P48" s="258">
        <v>39.242496000000003</v>
      </c>
      <c r="Q48" s="27">
        <f t="shared" ref="Q48" si="206">P48/P47-1</f>
        <v>-6.1670556984749769E-4</v>
      </c>
      <c r="R48" s="258">
        <v>55.93</v>
      </c>
      <c r="S48" s="27">
        <f t="shared" ref="S48" si="207">R48/R47-1</f>
        <v>-2.2373693801323147E-2</v>
      </c>
      <c r="T48" s="259">
        <v>2604.469971</v>
      </c>
      <c r="U48" s="27">
        <f t="shared" ref="U48" si="208">T48/T47-1</f>
        <v>-1.3783391226127484E-2</v>
      </c>
    </row>
    <row r="49" spans="1:21" x14ac:dyDescent="0.2">
      <c r="A49" s="223">
        <v>43199</v>
      </c>
      <c r="B49" s="1">
        <v>101.247139</v>
      </c>
      <c r="C49" s="27">
        <f t="shared" si="0"/>
        <v>-3.660886239946759E-4</v>
      </c>
      <c r="D49" s="258">
        <v>40.995742999999997</v>
      </c>
      <c r="E49" s="27">
        <f t="shared" si="0"/>
        <v>1.3433566882337766E-2</v>
      </c>
      <c r="F49" s="258">
        <v>38.791767</v>
      </c>
      <c r="G49" s="27">
        <f t="shared" ref="G49" si="209">F49/F48-1</f>
        <v>-2.9270527152911896E-2</v>
      </c>
      <c r="H49" s="258">
        <v>34.396011000000001</v>
      </c>
      <c r="I49" s="27">
        <f t="shared" ref="I49" si="210">H49/H48-1</f>
        <v>1.6329675638584451E-3</v>
      </c>
      <c r="J49" s="258">
        <v>57.643250000000002</v>
      </c>
      <c r="K49" s="27">
        <f t="shared" ref="K49" si="211">J49/J48-1</f>
        <v>-1.8368668734844773E-2</v>
      </c>
      <c r="L49" s="258">
        <v>18.391131999999999</v>
      </c>
      <c r="M49" s="27">
        <f t="shared" ref="M49" si="212">L49/L48-1</f>
        <v>1.863398347056533E-2</v>
      </c>
      <c r="N49" s="258">
        <v>53.565784000000001</v>
      </c>
      <c r="O49" s="27">
        <f t="shared" ref="O49" si="213">N49/N48-1</f>
        <v>6.2768098210126411E-3</v>
      </c>
      <c r="P49" s="258">
        <v>39.819592</v>
      </c>
      <c r="Q49" s="27">
        <f t="shared" ref="Q49" si="214">P49/P48-1</f>
        <v>1.4705894344742898E-2</v>
      </c>
      <c r="R49" s="258">
        <v>56.68</v>
      </c>
      <c r="S49" s="27">
        <f t="shared" ref="S49" si="215">R49/R48-1</f>
        <v>1.3409619166815601E-2</v>
      </c>
      <c r="T49" s="259">
        <v>2656.3000489999999</v>
      </c>
      <c r="U49" s="27">
        <f t="shared" ref="U49" si="216">T49/T48-1</f>
        <v>1.9900432171271909E-2</v>
      </c>
    </row>
    <row r="50" spans="1:21" x14ac:dyDescent="0.2">
      <c r="A50" s="223">
        <v>43206</v>
      </c>
      <c r="B50" s="1">
        <v>94.964377999999996</v>
      </c>
      <c r="C50" s="27">
        <f t="shared" si="0"/>
        <v>-6.2053713932598176E-2</v>
      </c>
      <c r="D50" s="258">
        <v>40.286544999999997</v>
      </c>
      <c r="E50" s="27">
        <f t="shared" si="0"/>
        <v>-1.7299308369651989E-2</v>
      </c>
      <c r="F50" s="258">
        <v>37.182701000000002</v>
      </c>
      <c r="G50" s="27">
        <f t="shared" ref="G50" si="217">F50/F49-1</f>
        <v>-4.147957477678188E-2</v>
      </c>
      <c r="H50" s="258">
        <v>34.050190000000001</v>
      </c>
      <c r="I50" s="27">
        <f t="shared" ref="I50" si="218">H50/H49-1</f>
        <v>-1.0054101913155034E-2</v>
      </c>
      <c r="J50" s="258">
        <v>55.092914999999998</v>
      </c>
      <c r="K50" s="27">
        <f t="shared" ref="K50" si="219">J50/J49-1</f>
        <v>-4.4243428328555434E-2</v>
      </c>
      <c r="L50" s="258">
        <v>18.316541999999998</v>
      </c>
      <c r="M50" s="27">
        <f t="shared" ref="M50" si="220">L50/L49-1</f>
        <v>-4.0557590473495608E-3</v>
      </c>
      <c r="N50" s="258">
        <v>51.19173</v>
      </c>
      <c r="O50" s="27">
        <f t="shared" ref="O50" si="221">N50/N49-1</f>
        <v>-4.4320344494537811E-2</v>
      </c>
      <c r="P50" s="258">
        <v>37.946399999999997</v>
      </c>
      <c r="Q50" s="27">
        <f t="shared" ref="Q50" si="222">P50/P49-1</f>
        <v>-4.7041968687172919E-2</v>
      </c>
      <c r="R50" s="258">
        <v>56.5</v>
      </c>
      <c r="S50" s="27">
        <f t="shared" ref="S50" si="223">R50/R49-1</f>
        <v>-3.1757233592095702E-3</v>
      </c>
      <c r="T50" s="259">
        <v>2670.139893</v>
      </c>
      <c r="U50" s="27">
        <f t="shared" ref="U50" si="224">T50/T49-1</f>
        <v>5.210196041373516E-3</v>
      </c>
    </row>
    <row r="51" spans="1:21" x14ac:dyDescent="0.2">
      <c r="A51" s="223">
        <v>43213</v>
      </c>
      <c r="B51" s="1">
        <v>94.250838999999999</v>
      </c>
      <c r="C51" s="27">
        <f t="shared" si="0"/>
        <v>-7.5137542626773079E-3</v>
      </c>
      <c r="D51" s="258">
        <v>39.890487999999998</v>
      </c>
      <c r="E51" s="27">
        <f t="shared" si="0"/>
        <v>-9.8309994068739304E-3</v>
      </c>
      <c r="F51" s="258">
        <v>38.767302999999998</v>
      </c>
      <c r="G51" s="27">
        <f t="shared" ref="G51" si="225">F51/F50-1</f>
        <v>4.2616645842914913E-2</v>
      </c>
      <c r="H51" s="258">
        <v>34.900734</v>
      </c>
      <c r="I51" s="27">
        <f t="shared" ref="I51" si="226">H51/H50-1</f>
        <v>2.497912640135036E-2</v>
      </c>
      <c r="J51" s="258">
        <v>55.065491000000002</v>
      </c>
      <c r="K51" s="27">
        <f t="shared" ref="K51" si="227">J51/J50-1</f>
        <v>-4.9777725502442305E-4</v>
      </c>
      <c r="L51" s="258">
        <v>18.261735999999999</v>
      </c>
      <c r="M51" s="27">
        <f t="shared" ref="M51" si="228">L51/L50-1</f>
        <v>-2.9921586727450489E-3</v>
      </c>
      <c r="N51" s="258">
        <v>50.699333000000003</v>
      </c>
      <c r="O51" s="27">
        <f t="shared" ref="O51" si="229">N51/N50-1</f>
        <v>-9.6186825489195105E-3</v>
      </c>
      <c r="P51" s="258">
        <v>37.776111999999998</v>
      </c>
      <c r="Q51" s="27">
        <f t="shared" ref="Q51" si="230">P51/P50-1</f>
        <v>-4.4875930259523633E-3</v>
      </c>
      <c r="R51" s="258">
        <v>56.189999</v>
      </c>
      <c r="S51" s="27">
        <f t="shared" ref="S51" si="231">R51/R50-1</f>
        <v>-5.4867433628318363E-3</v>
      </c>
      <c r="T51" s="259">
        <v>2669.9099120000001</v>
      </c>
      <c r="U51" s="27">
        <f t="shared" ref="U51" si="232">T51/T50-1</f>
        <v>-8.6130693228048116E-5</v>
      </c>
    </row>
    <row r="52" spans="1:21" x14ac:dyDescent="0.2">
      <c r="A52" s="223">
        <v>43220</v>
      </c>
      <c r="B52" s="1">
        <v>91.730316000000002</v>
      </c>
      <c r="C52" s="27">
        <f t="shared" si="0"/>
        <v>-2.6742711542334319E-2</v>
      </c>
      <c r="D52" s="258">
        <v>39.015495000000001</v>
      </c>
      <c r="E52" s="27">
        <f t="shared" si="0"/>
        <v>-2.1934878309836536E-2</v>
      </c>
      <c r="F52" s="258">
        <v>37.790745000000001</v>
      </c>
      <c r="G52" s="27">
        <f t="shared" ref="G52" si="233">F52/F51-1</f>
        <v>-2.5190248596865139E-2</v>
      </c>
      <c r="H52" s="258">
        <v>34.705314999999999</v>
      </c>
      <c r="I52" s="27">
        <f t="shared" ref="I52" si="234">H52/H51-1</f>
        <v>-5.5992805194298167E-3</v>
      </c>
      <c r="J52" s="258">
        <v>54.66328</v>
      </c>
      <c r="K52" s="27">
        <f t="shared" ref="K52" si="235">J52/J51-1</f>
        <v>-7.3042297943007872E-3</v>
      </c>
      <c r="L52" s="258">
        <v>18.071446999999999</v>
      </c>
      <c r="M52" s="27">
        <f t="shared" ref="M52" si="236">L52/L51-1</f>
        <v>-1.0420093686602461E-2</v>
      </c>
      <c r="N52" s="258">
        <v>51.007075999999998</v>
      </c>
      <c r="O52" s="27">
        <f t="shared" ref="O52" si="237">N52/N51-1</f>
        <v>6.069961512116917E-3</v>
      </c>
      <c r="P52" s="258">
        <v>36.801670000000001</v>
      </c>
      <c r="Q52" s="27">
        <f t="shared" ref="Q52" si="238">P52/P51-1</f>
        <v>-2.5795190357334685E-2</v>
      </c>
      <c r="R52" s="258">
        <v>52.759998000000003</v>
      </c>
      <c r="S52" s="27">
        <f t="shared" ref="S52" si="239">R52/R51-1</f>
        <v>-6.104290907711174E-2</v>
      </c>
      <c r="T52" s="259">
        <v>2663.419922</v>
      </c>
      <c r="U52" s="27">
        <f t="shared" ref="U52" si="240">T52/T51-1</f>
        <v>-2.4307898820220553E-3</v>
      </c>
    </row>
    <row r="53" spans="1:21" x14ac:dyDescent="0.2">
      <c r="A53" s="223">
        <v>43227</v>
      </c>
      <c r="B53" s="1">
        <v>90.284721000000005</v>
      </c>
      <c r="C53" s="27">
        <f t="shared" si="0"/>
        <v>-1.5759184782487834E-2</v>
      </c>
      <c r="D53" s="258">
        <v>38.812862000000003</v>
      </c>
      <c r="E53" s="27">
        <f t="shared" si="0"/>
        <v>-5.1936544698458764E-3</v>
      </c>
      <c r="F53" s="258">
        <v>37.477511999999997</v>
      </c>
      <c r="G53" s="27">
        <f t="shared" ref="G53" si="241">F53/F52-1</f>
        <v>-8.2886166970247421E-3</v>
      </c>
      <c r="H53" s="258">
        <v>35.579521</v>
      </c>
      <c r="I53" s="27">
        <f t="shared" ref="I53" si="242">H53/H52-1</f>
        <v>2.5189398223298021E-2</v>
      </c>
      <c r="J53" s="258">
        <v>56.116711000000002</v>
      </c>
      <c r="K53" s="27">
        <f t="shared" ref="K53" si="243">J53/J52-1</f>
        <v>2.658879964758798E-2</v>
      </c>
      <c r="L53" s="258">
        <v>18.170399</v>
      </c>
      <c r="M53" s="27">
        <f t="shared" ref="M53" si="244">L53/L52-1</f>
        <v>5.4755991592705389E-3</v>
      </c>
      <c r="N53" s="258">
        <v>52.0886</v>
      </c>
      <c r="O53" s="27">
        <f t="shared" ref="O53" si="245">N53/N52-1</f>
        <v>2.1203411071828659E-2</v>
      </c>
      <c r="P53" s="258">
        <v>37.113869000000001</v>
      </c>
      <c r="Q53" s="27">
        <f t="shared" ref="Q53" si="246">P53/P52-1</f>
        <v>8.4832835031671827E-3</v>
      </c>
      <c r="R53" s="258">
        <v>49.27</v>
      </c>
      <c r="S53" s="27">
        <f t="shared" ref="S53" si="247">R53/R52-1</f>
        <v>-6.6148562022310897E-2</v>
      </c>
      <c r="T53" s="259">
        <v>2727.719971</v>
      </c>
      <c r="U53" s="27">
        <f t="shared" ref="U53" si="248">T53/T52-1</f>
        <v>2.4141911858839071E-2</v>
      </c>
    </row>
    <row r="54" spans="1:21" x14ac:dyDescent="0.2">
      <c r="A54" s="223">
        <v>43234</v>
      </c>
      <c r="B54" s="1">
        <v>90.358856000000003</v>
      </c>
      <c r="C54" s="27">
        <f t="shared" si="0"/>
        <v>8.2112453999827473E-4</v>
      </c>
      <c r="D54" s="258">
        <v>38.849708999999997</v>
      </c>
      <c r="E54" s="27">
        <f t="shared" si="0"/>
        <v>9.4935024374120935E-4</v>
      </c>
      <c r="F54" s="258">
        <v>31.664255000000001</v>
      </c>
      <c r="G54" s="27">
        <f t="shared" ref="G54" si="249">F54/F53-1</f>
        <v>-0.15511320495341308</v>
      </c>
      <c r="H54" s="258">
        <v>35.175319999999999</v>
      </c>
      <c r="I54" s="27">
        <f t="shared" ref="I54" si="250">H54/H53-1</f>
        <v>-1.1360495831295725E-2</v>
      </c>
      <c r="J54" s="258">
        <v>55.019782999999997</v>
      </c>
      <c r="K54" s="27">
        <f t="shared" ref="K54" si="251">J54/J53-1</f>
        <v>-1.9547261064533972E-2</v>
      </c>
      <c r="L54" s="258">
        <v>18.187141</v>
      </c>
      <c r="M54" s="27">
        <f t="shared" ref="M54" si="252">L54/L53-1</f>
        <v>9.2138868276925301E-4</v>
      </c>
      <c r="N54" s="258">
        <v>49.934356999999999</v>
      </c>
      <c r="O54" s="27">
        <f t="shared" ref="O54" si="253">N54/N53-1</f>
        <v>-4.1357283551487267E-2</v>
      </c>
      <c r="P54" s="258">
        <v>37.511218999999997</v>
      </c>
      <c r="Q54" s="27">
        <f t="shared" ref="Q54" si="254">P54/P53-1</f>
        <v>1.0706240300627057E-2</v>
      </c>
      <c r="R54" s="258">
        <v>49.470001000000003</v>
      </c>
      <c r="S54" s="27">
        <f t="shared" ref="S54" si="255">R54/R53-1</f>
        <v>4.05928556931201E-3</v>
      </c>
      <c r="T54" s="259">
        <v>2712.969971</v>
      </c>
      <c r="U54" s="27">
        <f t="shared" ref="U54" si="256">T54/T53-1</f>
        <v>-5.4074465695951313E-3</v>
      </c>
    </row>
    <row r="55" spans="1:21" x14ac:dyDescent="0.2">
      <c r="A55" s="223">
        <v>43241</v>
      </c>
      <c r="B55" s="1">
        <v>92.953522000000007</v>
      </c>
      <c r="C55" s="27">
        <f t="shared" si="0"/>
        <v>2.8715126716522432E-2</v>
      </c>
      <c r="D55" s="258">
        <v>39.052337999999999</v>
      </c>
      <c r="E55" s="27">
        <f t="shared" si="0"/>
        <v>5.2157147431914908E-3</v>
      </c>
      <c r="F55" s="258">
        <v>31.876154</v>
      </c>
      <c r="G55" s="27">
        <f t="shared" ref="G55" si="257">F55/F54-1</f>
        <v>6.6920570213953035E-3</v>
      </c>
      <c r="H55" s="258">
        <v>35.165923999999997</v>
      </c>
      <c r="I55" s="27">
        <f t="shared" ref="I55" si="258">H55/H54-1</f>
        <v>-2.671191050999111E-4</v>
      </c>
      <c r="J55" s="258">
        <v>59.626857999999999</v>
      </c>
      <c r="K55" s="27">
        <f t="shared" ref="K55" si="259">J55/J54-1</f>
        <v>8.3734881324413868E-2</v>
      </c>
      <c r="L55" s="258">
        <v>18.32263</v>
      </c>
      <c r="M55" s="27">
        <f t="shared" ref="M55" si="260">L55/L54-1</f>
        <v>7.4497140589606659E-3</v>
      </c>
      <c r="N55" s="258">
        <v>51.337212000000001</v>
      </c>
      <c r="O55" s="27">
        <f t="shared" ref="O55" si="261">N55/N54-1</f>
        <v>2.8093983467134764E-2</v>
      </c>
      <c r="P55" s="258">
        <v>37.444991999999999</v>
      </c>
      <c r="Q55" s="27">
        <f t="shared" ref="Q55" si="262">P55/P54-1</f>
        <v>-1.7655251352934886E-3</v>
      </c>
      <c r="R55" s="258">
        <v>49.66</v>
      </c>
      <c r="S55" s="27">
        <f t="shared" ref="S55" si="263">R55/R54-1</f>
        <v>3.8406912504407309E-3</v>
      </c>
      <c r="T55" s="259">
        <v>2721.330078</v>
      </c>
      <c r="U55" s="27">
        <f t="shared" ref="U55" si="264">T55/T54-1</f>
        <v>3.0815331866420603E-3</v>
      </c>
    </row>
    <row r="56" spans="1:21" x14ac:dyDescent="0.2">
      <c r="A56" s="223">
        <v>43248</v>
      </c>
      <c r="B56" s="1">
        <v>92.897902999999999</v>
      </c>
      <c r="C56" s="27">
        <f t="shared" si="0"/>
        <v>-5.9835279829423271E-4</v>
      </c>
      <c r="D56" s="258">
        <v>39.715485000000001</v>
      </c>
      <c r="E56" s="27">
        <f t="shared" si="0"/>
        <v>1.6980980754596642E-2</v>
      </c>
      <c r="F56" s="258">
        <v>30.660072</v>
      </c>
      <c r="G56" s="27">
        <f t="shared" ref="G56" si="265">F56/F55-1</f>
        <v>-3.8150210969617016E-2</v>
      </c>
      <c r="H56" s="258">
        <v>34.724110000000003</v>
      </c>
      <c r="I56" s="27">
        <f t="shared" ref="I56" si="266">H56/H55-1</f>
        <v>-1.2563696605839003E-2</v>
      </c>
      <c r="J56" s="258">
        <v>58.347115000000002</v>
      </c>
      <c r="K56" s="27">
        <f t="shared" ref="K56" si="267">J56/J55-1</f>
        <v>-2.1462526165641593E-2</v>
      </c>
      <c r="L56" s="258">
        <v>18.255648000000001</v>
      </c>
      <c r="M56" s="27">
        <f t="shared" ref="M56" si="268">L56/L55-1</f>
        <v>-3.655697899264454E-3</v>
      </c>
      <c r="N56" s="258">
        <v>51.230583000000003</v>
      </c>
      <c r="O56" s="27">
        <f t="shared" ref="O56" si="269">N56/N55-1</f>
        <v>-2.0770313744346014E-3</v>
      </c>
      <c r="P56" s="258">
        <v>37.426074999999997</v>
      </c>
      <c r="Q56" s="27">
        <f t="shared" ref="Q56" si="270">P56/P55-1</f>
        <v>-5.051943928844338E-4</v>
      </c>
      <c r="R56" s="258">
        <v>51.5</v>
      </c>
      <c r="S56" s="27">
        <f t="shared" ref="S56" si="271">R56/R55-1</f>
        <v>3.7051953282319916E-2</v>
      </c>
      <c r="T56" s="259">
        <v>2734.6201169999999</v>
      </c>
      <c r="U56" s="27">
        <f t="shared" ref="U56" si="272">T56/T55-1</f>
        <v>4.883655645979923E-3</v>
      </c>
    </row>
    <row r="57" spans="1:21" x14ac:dyDescent="0.2">
      <c r="A57" s="223">
        <v>43255</v>
      </c>
      <c r="B57" s="1">
        <v>95.847115000000002</v>
      </c>
      <c r="C57" s="27">
        <f t="shared" si="0"/>
        <v>3.1746809182549685E-2</v>
      </c>
      <c r="D57" s="258">
        <v>40.479961000000003</v>
      </c>
      <c r="E57" s="27">
        <f t="shared" si="0"/>
        <v>1.9248814410802284E-2</v>
      </c>
      <c r="F57" s="258">
        <v>31.369451999999999</v>
      </c>
      <c r="G57" s="27">
        <f t="shared" ref="G57" si="273">F57/F56-1</f>
        <v>2.3136931968065877E-2</v>
      </c>
      <c r="H57" s="258">
        <v>35.476120000000002</v>
      </c>
      <c r="I57" s="27">
        <f t="shared" ref="I57" si="274">H57/H56-1</f>
        <v>2.1656710567959703E-2</v>
      </c>
      <c r="J57" s="258">
        <v>58.718055999999997</v>
      </c>
      <c r="K57" s="27">
        <f t="shared" ref="K57" si="275">J57/J56-1</f>
        <v>6.3574865698157179E-3</v>
      </c>
      <c r="L57" s="258">
        <v>18.346986999999999</v>
      </c>
      <c r="M57" s="27">
        <f t="shared" ref="M57" si="276">L57/L56-1</f>
        <v>5.0033282850325822E-3</v>
      </c>
      <c r="N57" s="258">
        <v>51.959266999999997</v>
      </c>
      <c r="O57" s="27">
        <f t="shared" ref="O57" si="277">N57/N56-1</f>
        <v>1.4223613266317825E-2</v>
      </c>
      <c r="P57" s="258">
        <v>37.634200999999997</v>
      </c>
      <c r="Q57" s="27">
        <f t="shared" ref="Q57" si="278">P57/P56-1</f>
        <v>5.5609892301022867E-3</v>
      </c>
      <c r="R57" s="258">
        <v>55.48</v>
      </c>
      <c r="S57" s="27">
        <f t="shared" ref="S57" si="279">R57/R56-1</f>
        <v>7.72815533980582E-2</v>
      </c>
      <c r="T57" s="259">
        <v>2779.030029</v>
      </c>
      <c r="U57" s="27">
        <f t="shared" ref="U57" si="280">T57/T56-1</f>
        <v>1.6239883457275228E-2</v>
      </c>
    </row>
    <row r="58" spans="1:21" x14ac:dyDescent="0.2">
      <c r="A58" s="223">
        <v>43262</v>
      </c>
      <c r="B58" s="1">
        <v>100.635262</v>
      </c>
      <c r="C58" s="27">
        <f t="shared" si="0"/>
        <v>4.9956088923490238E-2</v>
      </c>
      <c r="D58" s="258">
        <v>40.636532000000003</v>
      </c>
      <c r="E58" s="27">
        <f t="shared" si="0"/>
        <v>3.8678643983871552E-3</v>
      </c>
      <c r="F58" s="258">
        <v>34.179344</v>
      </c>
      <c r="G58" s="27">
        <f t="shared" ref="G58" si="281">F58/F57-1</f>
        <v>8.9574150036156208E-2</v>
      </c>
      <c r="H58" s="258">
        <v>36.190533000000002</v>
      </c>
      <c r="I58" s="27">
        <f t="shared" ref="I58" si="282">H58/H57-1</f>
        <v>2.0137856112788066E-2</v>
      </c>
      <c r="J58" s="258">
        <v>61.805568999999998</v>
      </c>
      <c r="K58" s="27">
        <f t="shared" ref="K58" si="283">J58/J57-1</f>
        <v>5.2582003055414495E-2</v>
      </c>
      <c r="L58" s="258">
        <v>18.496172000000001</v>
      </c>
      <c r="M58" s="27">
        <f t="shared" ref="M58" si="284">L58/L57-1</f>
        <v>8.1313078817792928E-3</v>
      </c>
      <c r="N58" s="258">
        <v>54.749630000000003</v>
      </c>
      <c r="O58" s="27">
        <f t="shared" ref="O58" si="285">N58/N57-1</f>
        <v>5.3702893845673616E-2</v>
      </c>
      <c r="P58" s="258">
        <v>38.618099000000001</v>
      </c>
      <c r="Q58" s="27">
        <f t="shared" ref="Q58" si="286">P58/P57-1</f>
        <v>2.6143719644798669E-2</v>
      </c>
      <c r="R58" s="258">
        <v>56.43</v>
      </c>
      <c r="S58" s="27">
        <f t="shared" ref="S58" si="287">R58/R57-1</f>
        <v>1.7123287671232834E-2</v>
      </c>
      <c r="T58" s="259">
        <v>2779.6599120000001</v>
      </c>
      <c r="U58" s="27">
        <f t="shared" ref="U58" si="288">T58/T57-1</f>
        <v>2.2665570124358325E-4</v>
      </c>
    </row>
    <row r="59" spans="1:21" x14ac:dyDescent="0.2">
      <c r="A59" s="223">
        <v>43269</v>
      </c>
      <c r="B59" s="1">
        <v>101.346008</v>
      </c>
      <c r="C59" s="27">
        <f t="shared" si="0"/>
        <v>7.0625940239514851E-3</v>
      </c>
      <c r="D59" s="258">
        <v>40.190005999999997</v>
      </c>
      <c r="E59" s="27">
        <f t="shared" si="0"/>
        <v>-1.0988290044042337E-2</v>
      </c>
      <c r="F59" s="258">
        <v>35.561259999999997</v>
      </c>
      <c r="G59" s="27">
        <f t="shared" ref="G59" si="289">F59/F58-1</f>
        <v>4.0431320156407713E-2</v>
      </c>
      <c r="H59" s="258">
        <v>36.237533999999997</v>
      </c>
      <c r="I59" s="27">
        <f t="shared" ref="I59" si="290">H59/H58-1</f>
        <v>1.2987098034724642E-3</v>
      </c>
      <c r="J59" s="258">
        <v>62.118931000000003</v>
      </c>
      <c r="K59" s="27">
        <f t="shared" ref="K59" si="291">J59/J58-1</f>
        <v>5.0701256386784799E-3</v>
      </c>
      <c r="L59" s="258">
        <v>18.628617999999999</v>
      </c>
      <c r="M59" s="27">
        <f t="shared" ref="M59" si="292">L59/L58-1</f>
        <v>7.1607249327048095E-3</v>
      </c>
      <c r="N59" s="258">
        <v>56.171470999999997</v>
      </c>
      <c r="O59" s="27">
        <f t="shared" ref="O59" si="293">N59/N58-1</f>
        <v>2.5969874134309068E-2</v>
      </c>
      <c r="P59" s="258">
        <v>39.072212</v>
      </c>
      <c r="Q59" s="27">
        <f t="shared" ref="Q59" si="294">P59/P58-1</f>
        <v>1.1759071827952994E-2</v>
      </c>
      <c r="R59" s="258">
        <v>56.860000999999997</v>
      </c>
      <c r="S59" s="27">
        <f t="shared" ref="S59" si="295">R59/R58-1</f>
        <v>7.6200779727095824E-3</v>
      </c>
      <c r="T59" s="259">
        <v>2754.8798830000001</v>
      </c>
      <c r="U59" s="27">
        <f t="shared" ref="U59" si="296">T59/T58-1</f>
        <v>-8.9147700742175928E-3</v>
      </c>
    </row>
    <row r="60" spans="1:21" x14ac:dyDescent="0.2">
      <c r="A60" s="223">
        <v>43276</v>
      </c>
      <c r="B60" s="1">
        <v>101.813591</v>
      </c>
      <c r="C60" s="27">
        <f t="shared" si="0"/>
        <v>4.6137288407057664E-3</v>
      </c>
      <c r="D60" s="258">
        <v>40.756847</v>
      </c>
      <c r="E60" s="27">
        <f t="shared" si="0"/>
        <v>1.4104028747843556E-2</v>
      </c>
      <c r="F60" s="258">
        <v>37.348537</v>
      </c>
      <c r="G60" s="27">
        <f t="shared" ref="G60" si="297">F60/F59-1</f>
        <v>5.0259102180294057E-2</v>
      </c>
      <c r="H60" s="258">
        <v>33.586692999999997</v>
      </c>
      <c r="I60" s="27">
        <f t="shared" ref="I60" si="298">H60/H59-1</f>
        <v>-7.315180442466096E-2</v>
      </c>
      <c r="J60" s="258">
        <v>64.395392999999999</v>
      </c>
      <c r="K60" s="27">
        <f t="shared" ref="K60" si="299">J60/J59-1</f>
        <v>3.6646831543189151E-2</v>
      </c>
      <c r="L60" s="258">
        <v>18.572289999999999</v>
      </c>
      <c r="M60" s="27">
        <f t="shared" ref="M60" si="300">L60/L59-1</f>
        <v>-3.0237347719513918E-3</v>
      </c>
      <c r="N60" s="258">
        <v>55.824894</v>
      </c>
      <c r="O60" s="27">
        <f t="shared" ref="O60" si="301">N60/N59-1</f>
        <v>-6.1699826233854171E-3</v>
      </c>
      <c r="P60" s="258">
        <v>38.788390999999997</v>
      </c>
      <c r="Q60" s="27">
        <f t="shared" ref="Q60" si="302">P60/P59-1</f>
        <v>-7.2640115691429141E-3</v>
      </c>
      <c r="R60" s="258">
        <v>57.299999</v>
      </c>
      <c r="S60" s="27">
        <f t="shared" ref="S60" si="303">R60/R59-1</f>
        <v>7.7382692976035727E-3</v>
      </c>
      <c r="T60" s="259">
        <v>2718.3701169999999</v>
      </c>
      <c r="U60" s="27">
        <f t="shared" ref="U60" si="304">T60/T59-1</f>
        <v>-1.3252761481651887E-2</v>
      </c>
    </row>
    <row r="61" spans="1:21" x14ac:dyDescent="0.2">
      <c r="A61" s="223">
        <v>43283</v>
      </c>
      <c r="B61" s="1">
        <v>102.458878</v>
      </c>
      <c r="C61" s="27">
        <f t="shared" si="0"/>
        <v>6.3379259454663384E-3</v>
      </c>
      <c r="D61" s="258">
        <v>41.481659000000001</v>
      </c>
      <c r="E61" s="27">
        <f t="shared" si="0"/>
        <v>1.778380942961566E-2</v>
      </c>
      <c r="F61" s="258">
        <v>38.610680000000002</v>
      </c>
      <c r="G61" s="27">
        <f t="shared" ref="G61" si="305">F61/F60-1</f>
        <v>3.3793639627704986E-2</v>
      </c>
      <c r="H61" s="258">
        <v>33.586692999999997</v>
      </c>
      <c r="I61" s="27">
        <f t="shared" ref="I61" si="306">H61/H60-1</f>
        <v>0</v>
      </c>
      <c r="J61" s="258">
        <v>66.201819999999998</v>
      </c>
      <c r="K61" s="27">
        <f t="shared" ref="K61" si="307">J61/J60-1</f>
        <v>2.8052115467328553E-2</v>
      </c>
      <c r="L61" s="258">
        <v>18.712344999999999</v>
      </c>
      <c r="M61" s="27">
        <f t="shared" ref="M61" si="308">L61/L60-1</f>
        <v>7.541073287139044E-3</v>
      </c>
      <c r="N61" s="258">
        <v>57.255619000000003</v>
      </c>
      <c r="O61" s="27">
        <f t="shared" ref="O61" si="309">N61/N60-1</f>
        <v>2.5628799223514909E-2</v>
      </c>
      <c r="P61" s="258">
        <v>40.281773000000001</v>
      </c>
      <c r="Q61" s="27">
        <f t="shared" ref="Q61" si="310">P61/P60-1</f>
        <v>3.8500746267098318E-2</v>
      </c>
      <c r="R61" s="258">
        <v>58.439999</v>
      </c>
      <c r="S61" s="27">
        <f t="shared" ref="S61" si="311">R61/R60-1</f>
        <v>1.989528830532783E-2</v>
      </c>
      <c r="T61" s="259">
        <v>2759.820068</v>
      </c>
      <c r="U61" s="27">
        <f t="shared" ref="U61" si="312">T61/T60-1</f>
        <v>1.5248089559542599E-2</v>
      </c>
    </row>
    <row r="62" spans="1:21" x14ac:dyDescent="0.2">
      <c r="A62" s="223">
        <v>43290</v>
      </c>
      <c r="B62" s="1">
        <v>105.386002</v>
      </c>
      <c r="C62" s="27">
        <f t="shared" si="0"/>
        <v>2.8568768828407531E-2</v>
      </c>
      <c r="D62" s="258">
        <v>41.574581000000002</v>
      </c>
      <c r="E62" s="27">
        <f t="shared" si="0"/>
        <v>2.2400743422532621E-3</v>
      </c>
      <c r="F62" s="258">
        <v>37.818385999999997</v>
      </c>
      <c r="G62" s="27">
        <f t="shared" ref="G62" si="313">F62/F61-1</f>
        <v>-2.0520073720535548E-2</v>
      </c>
      <c r="H62" s="258">
        <v>33.906300000000002</v>
      </c>
      <c r="I62" s="27">
        <f t="shared" ref="I62" si="314">H62/H61-1</f>
        <v>9.5158817809186669E-3</v>
      </c>
      <c r="J62" s="258">
        <v>65.593536</v>
      </c>
      <c r="K62" s="27">
        <f t="shared" ref="K62" si="315">J62/J61-1</f>
        <v>-9.1883274508163248E-3</v>
      </c>
      <c r="L62" s="258">
        <v>3.6916229999999999</v>
      </c>
      <c r="M62" s="27">
        <f t="shared" ref="M62" si="316">L62/L61-1</f>
        <v>-0.80271724361644681</v>
      </c>
      <c r="N62" s="258">
        <v>56.740195999999997</v>
      </c>
      <c r="O62" s="27">
        <f t="shared" ref="O62" si="317">N62/N61-1</f>
        <v>-9.002138287947048E-3</v>
      </c>
      <c r="P62" s="258">
        <v>40.738326999999998</v>
      </c>
      <c r="Q62" s="27">
        <f t="shared" ref="Q62" si="318">P62/P61-1</f>
        <v>1.1334009553154445E-2</v>
      </c>
      <c r="R62" s="258">
        <v>61.209999000000003</v>
      </c>
      <c r="S62" s="27">
        <f t="shared" ref="S62" si="319">R62/R61-1</f>
        <v>4.7399042563296412E-2</v>
      </c>
      <c r="T62" s="259">
        <v>2801.3100589999999</v>
      </c>
      <c r="U62" s="27">
        <f t="shared" ref="U62" si="320">T62/T61-1</f>
        <v>1.5033585515619174E-2</v>
      </c>
    </row>
    <row r="63" spans="1:21" x14ac:dyDescent="0.2">
      <c r="A63" s="223">
        <v>43297</v>
      </c>
      <c r="B63" s="1">
        <v>108.490814</v>
      </c>
      <c r="C63" s="27">
        <f t="shared" si="0"/>
        <v>2.9461332065713997E-2</v>
      </c>
      <c r="D63" s="258">
        <v>42.076369999999997</v>
      </c>
      <c r="E63" s="27">
        <f t="shared" si="0"/>
        <v>1.2069610515136553E-2</v>
      </c>
      <c r="F63" s="258">
        <v>37.622242</v>
      </c>
      <c r="G63" s="27">
        <f t="shared" ref="G63" si="321">F63/F62-1</f>
        <v>-5.1864719980381224E-3</v>
      </c>
      <c r="H63" s="258">
        <v>33.981506000000003</v>
      </c>
      <c r="I63" s="27">
        <f t="shared" ref="I63" si="322">H63/H62-1</f>
        <v>2.2180538719942522E-3</v>
      </c>
      <c r="J63" s="258">
        <v>64.699539000000001</v>
      </c>
      <c r="K63" s="27">
        <f t="shared" ref="K63" si="323">J63/J62-1</f>
        <v>-1.3629346037999812E-2</v>
      </c>
      <c r="L63" s="258">
        <v>23.231037000000001</v>
      </c>
      <c r="M63" s="27">
        <f t="shared" ref="M63" si="324">L63/L62-1</f>
        <v>5.2929061282801637</v>
      </c>
      <c r="N63" s="258">
        <v>53.932071999999998</v>
      </c>
      <c r="O63" s="27">
        <f t="shared" ref="O63" si="325">N63/N62-1</f>
        <v>-4.9490911169922658E-2</v>
      </c>
      <c r="P63" s="258">
        <v>40.376891999999998</v>
      </c>
      <c r="Q63" s="27">
        <f t="shared" ref="Q63" si="326">P63/P62-1</f>
        <v>-8.8721120040103907E-3</v>
      </c>
      <c r="R63" s="258">
        <v>61.580002</v>
      </c>
      <c r="S63" s="27">
        <f t="shared" ref="S63" si="327">R63/R62-1</f>
        <v>6.0448130378174536E-3</v>
      </c>
      <c r="T63" s="259">
        <v>2801.830078</v>
      </c>
      <c r="U63" s="27">
        <f t="shared" ref="U63" si="328">T63/T62-1</f>
        <v>1.8563421722261886E-4</v>
      </c>
    </row>
    <row r="64" spans="1:21" x14ac:dyDescent="0.2">
      <c r="A64" s="223">
        <v>43304</v>
      </c>
      <c r="B64" s="1">
        <v>106.872955</v>
      </c>
      <c r="C64" s="27">
        <f t="shared" si="0"/>
        <v>-1.4912405394985728E-2</v>
      </c>
      <c r="D64" s="258">
        <v>42.940578000000002</v>
      </c>
      <c r="E64" s="27">
        <f t="shared" si="0"/>
        <v>2.0539034141966228E-2</v>
      </c>
      <c r="F64" s="258">
        <v>38.030982999999999</v>
      </c>
      <c r="G64" s="27">
        <f t="shared" ref="G64" si="329">F64/F63-1</f>
        <v>1.0864344554479155E-2</v>
      </c>
      <c r="H64" s="258">
        <v>35.053122999999999</v>
      </c>
      <c r="I64" s="27">
        <f t="shared" ref="I64" si="330">H64/H63-1</f>
        <v>3.1535300407227185E-2</v>
      </c>
      <c r="J64" s="258">
        <v>65.805519000000004</v>
      </c>
      <c r="K64" s="27">
        <f t="shared" ref="K64" si="331">J64/J63-1</f>
        <v>1.7094093978011315E-2</v>
      </c>
      <c r="L64" s="258">
        <v>22.843381999999998</v>
      </c>
      <c r="M64" s="27">
        <f t="shared" ref="M64" si="332">L64/L63-1</f>
        <v>-1.6686943419701894E-2</v>
      </c>
      <c r="N64" s="258">
        <v>53.549956999999999</v>
      </c>
      <c r="O64" s="27">
        <f t="shared" ref="O64" si="333">N64/N63-1</f>
        <v>-7.085116255129198E-3</v>
      </c>
      <c r="P64" s="258">
        <v>40.804912999999999</v>
      </c>
      <c r="Q64" s="27">
        <f t="shared" ref="Q64" si="334">P64/P63-1</f>
        <v>1.0600642565554708E-2</v>
      </c>
      <c r="R64" s="258">
        <v>60.630001</v>
      </c>
      <c r="S64" s="27">
        <f t="shared" ref="S64" si="335">R64/R63-1</f>
        <v>-1.5427102454462438E-2</v>
      </c>
      <c r="T64" s="259">
        <v>2818.820068</v>
      </c>
      <c r="U64" s="27">
        <f t="shared" ref="U64" si="336">T64/T63-1</f>
        <v>6.0638902171139542E-3</v>
      </c>
    </row>
    <row r="65" spans="1:21" x14ac:dyDescent="0.2">
      <c r="A65" s="223">
        <v>43311</v>
      </c>
      <c r="B65" s="1">
        <v>108.762024</v>
      </c>
      <c r="C65" s="27">
        <f t="shared" si="0"/>
        <v>1.7675837633571501E-2</v>
      </c>
      <c r="D65" s="258">
        <v>43.321575000000003</v>
      </c>
      <c r="E65" s="27">
        <f t="shared" si="0"/>
        <v>8.8726565348049569E-3</v>
      </c>
      <c r="F65" s="258">
        <v>39.721663999999997</v>
      </c>
      <c r="G65" s="27">
        <f t="shared" ref="G65" si="337">F65/F64-1</f>
        <v>4.4455358937211642E-2</v>
      </c>
      <c r="H65" s="258">
        <v>35.344521</v>
      </c>
      <c r="I65" s="27">
        <f t="shared" ref="I65" si="338">H65/H64-1</f>
        <v>8.3130396113351157E-3</v>
      </c>
      <c r="J65" s="258">
        <v>66.496750000000006</v>
      </c>
      <c r="K65" s="27">
        <f t="shared" ref="K65" si="339">J65/J64-1</f>
        <v>1.0504149355618608E-2</v>
      </c>
      <c r="L65" s="258">
        <v>22.729921000000001</v>
      </c>
      <c r="M65" s="27">
        <f t="shared" ref="M65" si="340">L65/L64-1</f>
        <v>-4.9669090154862428E-3</v>
      </c>
      <c r="N65" s="258">
        <v>57.300049000000001</v>
      </c>
      <c r="O65" s="27">
        <f t="shared" ref="O65" si="341">N65/N64-1</f>
        <v>7.0029785458091132E-2</v>
      </c>
      <c r="P65" s="258">
        <v>41.622902000000003</v>
      </c>
      <c r="Q65" s="27">
        <f t="shared" ref="Q65" si="342">P65/P64-1</f>
        <v>2.0046336087029548E-2</v>
      </c>
      <c r="R65" s="258">
        <v>59.259998000000003</v>
      </c>
      <c r="S65" s="27">
        <f t="shared" ref="S65" si="343">R65/R64-1</f>
        <v>-2.2596123658318867E-2</v>
      </c>
      <c r="T65" s="259">
        <v>2840.3500979999999</v>
      </c>
      <c r="U65" s="27">
        <f t="shared" ref="U65" si="344">T65/T64-1</f>
        <v>7.6379582522541067E-3</v>
      </c>
    </row>
    <row r="66" spans="1:21" x14ac:dyDescent="0.2">
      <c r="A66" s="223">
        <v>43318</v>
      </c>
      <c r="B66" s="1">
        <v>105.554337</v>
      </c>
      <c r="C66" s="27">
        <f t="shared" si="0"/>
        <v>-2.9492711536887151E-2</v>
      </c>
      <c r="D66" s="258">
        <v>42.819781999999996</v>
      </c>
      <c r="E66" s="27">
        <f t="shared" si="0"/>
        <v>-1.1582981459007602E-2</v>
      </c>
      <c r="F66" s="258">
        <v>38.411853999999998</v>
      </c>
      <c r="G66" s="27">
        <f t="shared" ref="G66" si="345">F66/F65-1</f>
        <v>-3.2974701160555564E-2</v>
      </c>
      <c r="H66" s="258">
        <v>34.648960000000002</v>
      </c>
      <c r="I66" s="27">
        <f t="shared" ref="I66" si="346">H66/H65-1</f>
        <v>-1.9679457531762812E-2</v>
      </c>
      <c r="J66" s="258">
        <v>65.787079000000006</v>
      </c>
      <c r="K66" s="27">
        <f t="shared" ref="K66" si="347">J66/J65-1</f>
        <v>-1.0672265937809011E-2</v>
      </c>
      <c r="L66" s="258">
        <v>22.408450999999999</v>
      </c>
      <c r="M66" s="27">
        <f t="shared" ref="M66" si="348">L66/L65-1</f>
        <v>-1.4143031997339572E-2</v>
      </c>
      <c r="N66" s="258">
        <v>53.007877000000001</v>
      </c>
      <c r="O66" s="27">
        <f t="shared" ref="O66" si="349">N66/N65-1</f>
        <v>-7.4906951650250742E-2</v>
      </c>
      <c r="P66" s="258">
        <v>39.891787999999998</v>
      </c>
      <c r="Q66" s="27">
        <f t="shared" ref="Q66" si="350">P66/P65-1</f>
        <v>-4.1590420581438692E-2</v>
      </c>
      <c r="R66" s="258">
        <v>60.700001</v>
      </c>
      <c r="S66" s="27">
        <f t="shared" ref="S66" si="351">R66/R65-1</f>
        <v>2.4299747698270258E-2</v>
      </c>
      <c r="T66" s="259">
        <v>2833.280029</v>
      </c>
      <c r="U66" s="27">
        <f t="shared" ref="U66" si="352">T66/T65-1</f>
        <v>-2.4891540676545976E-3</v>
      </c>
    </row>
    <row r="67" spans="1:21" x14ac:dyDescent="0.2">
      <c r="A67" s="223">
        <v>43325</v>
      </c>
      <c r="B67" s="1">
        <v>107.508888</v>
      </c>
      <c r="C67" s="27">
        <f t="shared" si="0"/>
        <v>1.8517012711661396E-2</v>
      </c>
      <c r="D67" s="258">
        <v>43.302985999999997</v>
      </c>
      <c r="E67" s="27">
        <f t="shared" si="0"/>
        <v>1.1284597385386119E-2</v>
      </c>
      <c r="F67" s="258">
        <v>39.052818000000002</v>
      </c>
      <c r="G67" s="27">
        <f t="shared" ref="G67" si="353">F67/F66-1</f>
        <v>1.6686619708593087E-2</v>
      </c>
      <c r="H67" s="258">
        <v>35.433643000000004</v>
      </c>
      <c r="I67" s="27">
        <f t="shared" ref="I67" si="354">H67/H66-1</f>
        <v>2.2646653752378176E-2</v>
      </c>
      <c r="J67" s="258">
        <v>67.860778999999994</v>
      </c>
      <c r="K67" s="27">
        <f t="shared" ref="K67" si="355">J67/J66-1</f>
        <v>3.1521387353282471E-2</v>
      </c>
      <c r="L67" s="258">
        <v>22.342264</v>
      </c>
      <c r="M67" s="27">
        <f t="shared" ref="M67" si="356">L67/L66-1</f>
        <v>-2.9536624374437714E-3</v>
      </c>
      <c r="N67" s="258">
        <v>54.225327</v>
      </c>
      <c r="O67" s="27">
        <f t="shared" ref="O67" si="357">N67/N66-1</f>
        <v>2.2967341250056172E-2</v>
      </c>
      <c r="P67" s="258">
        <v>40.624184</v>
      </c>
      <c r="Q67" s="27">
        <f t="shared" ref="Q67" si="358">P67/P66-1</f>
        <v>1.835956813968842E-2</v>
      </c>
      <c r="R67" s="258">
        <v>62.169998</v>
      </c>
      <c r="S67" s="27">
        <f t="shared" ref="S67" si="359">R67/R66-1</f>
        <v>2.4217413110092068E-2</v>
      </c>
      <c r="T67" s="259">
        <v>2850.1298830000001</v>
      </c>
      <c r="U67" s="27">
        <f t="shared" ref="U67" si="360">T67/T66-1</f>
        <v>5.9471191790199107E-3</v>
      </c>
    </row>
    <row r="68" spans="1:21" x14ac:dyDescent="0.2">
      <c r="A68" s="223">
        <v>43332</v>
      </c>
      <c r="B68" s="1">
        <v>104.881012</v>
      </c>
      <c r="C68" s="27">
        <f t="shared" si="0"/>
        <v>-2.444333718715419E-2</v>
      </c>
      <c r="D68" s="258">
        <v>42.401611000000003</v>
      </c>
      <c r="E68" s="27">
        <f t="shared" si="0"/>
        <v>-2.0815539140880412E-2</v>
      </c>
      <c r="F68" s="258">
        <v>37.789451999999997</v>
      </c>
      <c r="G68" s="27">
        <f t="shared" ref="G68" si="361">F68/F67-1</f>
        <v>-3.2350187891690863E-2</v>
      </c>
      <c r="H68" s="258">
        <v>34.838039000000002</v>
      </c>
      <c r="I68" s="27">
        <f t="shared" ref="I68" si="362">H68/H67-1</f>
        <v>-1.6808997031437123E-2</v>
      </c>
      <c r="J68" s="258">
        <v>66.773239000000004</v>
      </c>
      <c r="K68" s="27">
        <f t="shared" ref="K68" si="363">J68/J67-1</f>
        <v>-1.6026046503238467E-2</v>
      </c>
      <c r="L68" s="258">
        <v>22.115342999999999</v>
      </c>
      <c r="M68" s="27">
        <f t="shared" ref="M68" si="364">L68/L67-1</f>
        <v>-1.0156580371622148E-2</v>
      </c>
      <c r="N68" s="258">
        <v>53.017688999999997</v>
      </c>
      <c r="O68" s="27">
        <f t="shared" ref="O68" si="365">N68/N67-1</f>
        <v>-2.2270737067201174E-2</v>
      </c>
      <c r="P68" s="258">
        <v>40.319817</v>
      </c>
      <c r="Q68" s="27">
        <f t="shared" ref="Q68" si="366">P68/P67-1</f>
        <v>-7.4922612599430671E-3</v>
      </c>
      <c r="R68" s="258">
        <v>60.650002000000001</v>
      </c>
      <c r="S68" s="27">
        <f t="shared" ref="S68" si="367">R68/R67-1</f>
        <v>-2.4449027648352217E-2</v>
      </c>
      <c r="T68" s="259">
        <v>2874.6899410000001</v>
      </c>
      <c r="U68" s="27">
        <f t="shared" ref="U68" si="368">T68/T67-1</f>
        <v>8.6171715003207083E-3</v>
      </c>
    </row>
    <row r="69" spans="1:21" x14ac:dyDescent="0.2">
      <c r="A69" s="223">
        <v>43339</v>
      </c>
      <c r="B69" s="1">
        <v>104.750084</v>
      </c>
      <c r="C69" s="27">
        <f t="shared" si="0"/>
        <v>-1.2483479850480261E-3</v>
      </c>
      <c r="D69" s="258">
        <v>41.416606999999999</v>
      </c>
      <c r="E69" s="27">
        <f t="shared" si="0"/>
        <v>-2.3230343771608153E-2</v>
      </c>
      <c r="F69" s="258">
        <v>36.646853999999998</v>
      </c>
      <c r="G69" s="27">
        <f t="shared" ref="G69" si="369">F69/F68-1</f>
        <v>-3.0235897572687742E-2</v>
      </c>
      <c r="H69" s="258">
        <v>34.743499999999997</v>
      </c>
      <c r="I69" s="27">
        <f t="shared" ref="I69" si="370">H69/H68-1</f>
        <v>-2.7136716851371423E-3</v>
      </c>
      <c r="J69" s="258">
        <v>66.164969999999997</v>
      </c>
      <c r="K69" s="27">
        <f t="shared" ref="K69" si="371">J69/J68-1</f>
        <v>-9.1094727335303549E-3</v>
      </c>
      <c r="L69" s="258">
        <v>21.557493000000001</v>
      </c>
      <c r="M69" s="27">
        <f t="shared" ref="M69" si="372">L69/L68-1</f>
        <v>-2.522456920518934E-2</v>
      </c>
      <c r="N69" s="258">
        <v>52.335098000000002</v>
      </c>
      <c r="O69" s="27">
        <f t="shared" ref="O69" si="373">N69/N68-1</f>
        <v>-1.287477845365903E-2</v>
      </c>
      <c r="P69" s="258">
        <v>40.633701000000002</v>
      </c>
      <c r="Q69" s="27">
        <f t="shared" ref="Q69" si="374">P69/P68-1</f>
        <v>7.7848567616267683E-3</v>
      </c>
      <c r="R69" s="258">
        <v>60.889999000000003</v>
      </c>
      <c r="S69" s="27">
        <f t="shared" ref="S69" si="375">R69/R68-1</f>
        <v>3.9570814853395753E-3</v>
      </c>
      <c r="T69" s="259">
        <v>2901.5200199999999</v>
      </c>
      <c r="U69" s="27">
        <f t="shared" ref="U69" si="376">T69/T68-1</f>
        <v>9.3332079461294626E-3</v>
      </c>
    </row>
    <row r="70" spans="1:21" x14ac:dyDescent="0.2">
      <c r="A70" s="223">
        <v>43346</v>
      </c>
      <c r="B70" s="1">
        <v>105.432755</v>
      </c>
      <c r="C70" s="27">
        <f t="shared" si="0"/>
        <v>6.5171403585699839E-3</v>
      </c>
      <c r="D70" s="258">
        <v>42.485249000000003</v>
      </c>
      <c r="E70" s="27">
        <f t="shared" si="0"/>
        <v>2.5802258499833197E-2</v>
      </c>
      <c r="F70" s="258">
        <v>37.362144000000001</v>
      </c>
      <c r="G70" s="27">
        <f t="shared" ref="G70" si="377">F70/F69-1</f>
        <v>1.9518455799780288E-2</v>
      </c>
      <c r="H70" s="258">
        <v>34.346432</v>
      </c>
      <c r="I70" s="27">
        <f t="shared" ref="I70" si="378">H70/H69-1</f>
        <v>-1.14285549815073E-2</v>
      </c>
      <c r="J70" s="258">
        <v>68.821883999999997</v>
      </c>
      <c r="K70" s="27">
        <f t="shared" ref="K70" si="379">J70/J69-1</f>
        <v>4.0155901226887947E-2</v>
      </c>
      <c r="L70" s="258">
        <v>21.633137000000001</v>
      </c>
      <c r="M70" s="27">
        <f t="shared" ref="M70" si="380">L70/L69-1</f>
        <v>3.5089423431564626E-3</v>
      </c>
      <c r="N70" s="258">
        <v>50.826205999999999</v>
      </c>
      <c r="O70" s="27">
        <f t="shared" ref="O70" si="381">N70/N69-1</f>
        <v>-2.8831359024110381E-2</v>
      </c>
      <c r="P70" s="258">
        <v>40.443474000000002</v>
      </c>
      <c r="Q70" s="27">
        <f t="shared" ref="Q70" si="382">P70/P69-1</f>
        <v>-4.6815080910301843E-3</v>
      </c>
      <c r="R70" s="258">
        <v>60.34</v>
      </c>
      <c r="S70" s="27">
        <f t="shared" ref="S70" si="383">R70/R69-1</f>
        <v>-9.0326656106530789E-3</v>
      </c>
      <c r="T70" s="259">
        <v>2871.679932</v>
      </c>
      <c r="U70" s="27">
        <f t="shared" ref="U70" si="384">T70/T69-1</f>
        <v>-1.0284295057181758E-2</v>
      </c>
    </row>
    <row r="71" spans="1:21" x14ac:dyDescent="0.2">
      <c r="A71" s="223">
        <v>43353</v>
      </c>
      <c r="B71" s="1">
        <v>108.030388</v>
      </c>
      <c r="C71" s="27">
        <f t="shared" si="0"/>
        <v>2.463781772562057E-2</v>
      </c>
      <c r="D71" s="258">
        <v>42.736141000000003</v>
      </c>
      <c r="E71" s="27">
        <f t="shared" si="0"/>
        <v>5.9053908334161243E-3</v>
      </c>
      <c r="F71" s="258">
        <v>38.356116999999998</v>
      </c>
      <c r="G71" s="27">
        <f t="shared" ref="G71" si="385">F71/F70-1</f>
        <v>2.6603746294645125E-2</v>
      </c>
      <c r="H71" s="258">
        <v>36.161605999999999</v>
      </c>
      <c r="I71" s="27">
        <f t="shared" ref="I71" si="386">H71/H70-1</f>
        <v>5.2848982974417869E-2</v>
      </c>
      <c r="J71" s="258">
        <v>69.518555000000006</v>
      </c>
      <c r="K71" s="27">
        <f t="shared" ref="K71" si="387">J71/J70-1</f>
        <v>1.0122812098547262E-2</v>
      </c>
      <c r="L71" s="258">
        <v>23.136488</v>
      </c>
      <c r="M71" s="27">
        <f t="shared" ref="M71" si="388">L71/L70-1</f>
        <v>6.949297274824251E-2</v>
      </c>
      <c r="N71" s="258">
        <v>52.963799000000002</v>
      </c>
      <c r="O71" s="27">
        <f t="shared" ref="O71" si="389">N71/N70-1</f>
        <v>4.2056906628049395E-2</v>
      </c>
      <c r="P71" s="258">
        <v>41.66095</v>
      </c>
      <c r="Q71" s="27">
        <f t="shared" ref="Q71" si="390">P71/P70-1</f>
        <v>3.0103150881647833E-2</v>
      </c>
      <c r="R71" s="258">
        <v>59.529998999999997</v>
      </c>
      <c r="S71" s="27">
        <f t="shared" ref="S71" si="391">R71/R70-1</f>
        <v>-1.3423947630096245E-2</v>
      </c>
      <c r="T71" s="259">
        <v>2904.9799800000001</v>
      </c>
      <c r="U71" s="27">
        <f t="shared" ref="U71" si="392">T71/T70-1</f>
        <v>1.1596016543810261E-2</v>
      </c>
    </row>
    <row r="72" spans="1:21" x14ac:dyDescent="0.2">
      <c r="A72" s="223">
        <v>43360</v>
      </c>
      <c r="B72" s="1">
        <v>108.35099</v>
      </c>
      <c r="C72" s="27">
        <f t="shared" si="0"/>
        <v>2.9677020136222865E-3</v>
      </c>
      <c r="D72" s="258">
        <v>43.652583999999997</v>
      </c>
      <c r="E72" s="27">
        <f t="shared" si="0"/>
        <v>2.1444215096538377E-2</v>
      </c>
      <c r="F72" s="258">
        <v>37.204219999999999</v>
      </c>
      <c r="G72" s="27">
        <f t="shared" ref="G72" si="393">F72/F71-1</f>
        <v>-3.0031637456940707E-2</v>
      </c>
      <c r="H72" s="258">
        <v>35.405276999999998</v>
      </c>
      <c r="I72" s="27">
        <f t="shared" ref="I72" si="394">H72/H71-1</f>
        <v>-2.091524917339127E-2</v>
      </c>
      <c r="J72" s="258">
        <v>67.967308000000003</v>
      </c>
      <c r="K72" s="27">
        <f t="shared" ref="K72" si="395">J72/J71-1</f>
        <v>-2.2314143324757008E-2</v>
      </c>
      <c r="L72" s="258">
        <v>22.502996</v>
      </c>
      <c r="M72" s="27">
        <f t="shared" ref="M72" si="396">L72/L71-1</f>
        <v>-2.7380646535463793E-2</v>
      </c>
      <c r="N72" s="258">
        <v>51.302227000000002</v>
      </c>
      <c r="O72" s="27">
        <f t="shared" ref="O72" si="397">N72/N71-1</f>
        <v>-3.1371843247120501E-2</v>
      </c>
      <c r="P72" s="258">
        <v>41.794120999999997</v>
      </c>
      <c r="Q72" s="27">
        <f t="shared" ref="Q72" si="398">P72/P71-1</f>
        <v>3.1965425656399482E-3</v>
      </c>
      <c r="R72" s="258">
        <v>59.849997999999999</v>
      </c>
      <c r="S72" s="27">
        <f t="shared" ref="S72" si="399">R72/R71-1</f>
        <v>5.375424246185645E-3</v>
      </c>
      <c r="T72" s="259">
        <v>2929.669922</v>
      </c>
      <c r="U72" s="27">
        <f t="shared" ref="U72" si="400">T72/T71-1</f>
        <v>8.4991780218739432E-3</v>
      </c>
    </row>
    <row r="73" spans="1:21" x14ac:dyDescent="0.2">
      <c r="A73" s="223">
        <v>43367</v>
      </c>
      <c r="B73" s="1">
        <v>105.41851</v>
      </c>
      <c r="C73" s="27">
        <f t="shared" si="0"/>
        <v>-2.7064635034714457E-2</v>
      </c>
      <c r="D73" s="258">
        <v>43.287086000000002</v>
      </c>
      <c r="E73" s="27">
        <f t="shared" si="0"/>
        <v>-8.3728834929908125E-3</v>
      </c>
      <c r="F73" s="258">
        <v>34.027228999999998</v>
      </c>
      <c r="G73" s="27">
        <f t="shared" ref="G73" si="401">F73/F72-1</f>
        <v>-8.5393296781924199E-2</v>
      </c>
      <c r="H73" s="258">
        <v>32.115284000000003</v>
      </c>
      <c r="I73" s="27">
        <f t="shared" ref="I73" si="402">H73/H72-1</f>
        <v>-9.2923803420603024E-2</v>
      </c>
      <c r="J73" s="258">
        <v>65.041274999999999</v>
      </c>
      <c r="K73" s="27">
        <f t="shared" ref="K73" si="403">J73/J72-1</f>
        <v>-4.3050594265113484E-2</v>
      </c>
      <c r="L73" s="258">
        <v>21.907330000000002</v>
      </c>
      <c r="M73" s="27">
        <f t="shared" ref="M73" si="404">L73/L72-1</f>
        <v>-2.6470519747681553E-2</v>
      </c>
      <c r="N73" s="258">
        <v>49.496941</v>
      </c>
      <c r="O73" s="27">
        <f t="shared" ref="O73" si="405">N73/N72-1</f>
        <v>-3.5189232623371369E-2</v>
      </c>
      <c r="P73" s="258">
        <v>40.861984</v>
      </c>
      <c r="Q73" s="27">
        <f t="shared" ref="Q73" si="406">P73/P72-1</f>
        <v>-2.230306506506019E-2</v>
      </c>
      <c r="R73" s="258">
        <v>58.279998999999997</v>
      </c>
      <c r="S73" s="27">
        <f t="shared" ref="S73" si="407">R73/R72-1</f>
        <v>-2.6232231453040322E-2</v>
      </c>
      <c r="T73" s="259">
        <v>2913.9799800000001</v>
      </c>
      <c r="U73" s="27">
        <f t="shared" ref="U73" si="408">T73/T72-1</f>
        <v>-5.3555323356321294E-3</v>
      </c>
    </row>
    <row r="74" spans="1:21" x14ac:dyDescent="0.2">
      <c r="A74" s="223">
        <v>43374</v>
      </c>
      <c r="B74" s="1">
        <v>100.411598</v>
      </c>
      <c r="C74" s="27">
        <f t="shared" si="0"/>
        <v>-4.7495567903587332E-2</v>
      </c>
      <c r="D74" s="258">
        <v>42.996578</v>
      </c>
      <c r="E74" s="27">
        <f t="shared" si="0"/>
        <v>-6.7111932644300376E-3</v>
      </c>
      <c r="F74" s="258">
        <v>34.584595</v>
      </c>
      <c r="G74" s="27">
        <f t="shared" ref="G74" si="409">F74/F73-1</f>
        <v>1.6379999676141788E-2</v>
      </c>
      <c r="H74" s="258">
        <v>31.756031</v>
      </c>
      <c r="I74" s="27">
        <f t="shared" ref="I74" si="410">H74/H73-1</f>
        <v>-1.1186356004200482E-2</v>
      </c>
      <c r="J74" s="258">
        <v>64.446785000000006</v>
      </c>
      <c r="K74" s="27">
        <f t="shared" ref="K74" si="411">J74/J73-1</f>
        <v>-9.1401959755553763E-3</v>
      </c>
      <c r="L74" s="258">
        <v>21.046923</v>
      </c>
      <c r="M74" s="27">
        <f t="shared" ref="M74" si="412">L74/L73-1</f>
        <v>-3.9274845451271467E-2</v>
      </c>
      <c r="N74" s="258">
        <v>50.197502</v>
      </c>
      <c r="O74" s="27">
        <f t="shared" ref="O74" si="413">N74/N73-1</f>
        <v>1.4153622140002486E-2</v>
      </c>
      <c r="P74" s="258">
        <v>40.59243</v>
      </c>
      <c r="Q74" s="27">
        <f t="shared" ref="Q74" si="414">P74/P73-1</f>
        <v>-6.5966938854461477E-3</v>
      </c>
      <c r="R74" s="258">
        <v>56.189999</v>
      </c>
      <c r="S74" s="27">
        <f t="shared" ref="S74" si="415">R74/R73-1</f>
        <v>-3.5861359572089135E-2</v>
      </c>
      <c r="T74" s="259">
        <v>2885.570068</v>
      </c>
      <c r="U74" s="27">
        <f t="shared" ref="U74" si="416">T74/T73-1</f>
        <v>-9.7495220265720883E-3</v>
      </c>
    </row>
    <row r="75" spans="1:21" x14ac:dyDescent="0.2">
      <c r="A75" s="223">
        <v>43381</v>
      </c>
      <c r="B75" s="1">
        <v>99.270668000000001</v>
      </c>
      <c r="C75" s="27">
        <f t="shared" si="0"/>
        <v>-1.1362532045351981E-2</v>
      </c>
      <c r="D75" s="258">
        <v>41.871994000000001</v>
      </c>
      <c r="E75" s="27">
        <f t="shared" si="0"/>
        <v>-2.6155197746202008E-2</v>
      </c>
      <c r="F75" s="258">
        <v>34.463833000000001</v>
      </c>
      <c r="G75" s="27">
        <f t="shared" ref="G75" si="417">F75/F74-1</f>
        <v>-3.4917858659324619E-3</v>
      </c>
      <c r="H75" s="258">
        <v>33.410483999999997</v>
      </c>
      <c r="I75" s="27">
        <f t="shared" ref="I75" si="418">H75/H74-1</f>
        <v>5.2098859583554313E-2</v>
      </c>
      <c r="J75" s="258">
        <v>63.118473000000002</v>
      </c>
      <c r="K75" s="27">
        <f t="shared" ref="K75" si="419">J75/J74-1</f>
        <v>-2.0610989361222631E-2</v>
      </c>
      <c r="L75" s="258">
        <v>21.928497</v>
      </c>
      <c r="M75" s="27">
        <f t="shared" ref="M75" si="420">L75/L74-1</f>
        <v>4.1886122736325859E-2</v>
      </c>
      <c r="N75" s="258">
        <v>48.715556999999997</v>
      </c>
      <c r="O75" s="27">
        <f t="shared" ref="O75" si="421">N75/N74-1</f>
        <v>-2.952228579023719E-2</v>
      </c>
      <c r="P75" s="258">
        <v>39.348438000000002</v>
      </c>
      <c r="Q75" s="27">
        <f t="shared" ref="Q75" si="422">P75/P74-1</f>
        <v>-3.0645911072581744E-2</v>
      </c>
      <c r="R75" s="258">
        <v>53.290000999999997</v>
      </c>
      <c r="S75" s="27">
        <f t="shared" ref="S75" si="423">R75/R74-1</f>
        <v>-5.1610572194528803E-2</v>
      </c>
      <c r="T75" s="259">
        <v>2767.1298830000001</v>
      </c>
      <c r="U75" s="27">
        <f t="shared" ref="U75" si="424">T75/T74-1</f>
        <v>-4.1045679782120592E-2</v>
      </c>
    </row>
    <row r="76" spans="1:21" x14ac:dyDescent="0.2">
      <c r="A76" s="223">
        <v>43388</v>
      </c>
      <c r="B76" s="1">
        <v>103.994713</v>
      </c>
      <c r="C76" s="27">
        <f t="shared" si="0"/>
        <v>4.7587521018796819E-2</v>
      </c>
      <c r="D76" s="258">
        <v>43.418292999999998</v>
      </c>
      <c r="E76" s="27">
        <f t="shared" si="0"/>
        <v>3.6929194248547015E-2</v>
      </c>
      <c r="F76" s="258">
        <v>35.564864999999998</v>
      </c>
      <c r="G76" s="27">
        <f t="shared" ref="G76" si="425">F76/F75-1</f>
        <v>3.1947462140963667E-2</v>
      </c>
      <c r="H76" s="258">
        <v>33.883183000000002</v>
      </c>
      <c r="I76" s="27">
        <f t="shared" ref="I76" si="426">H76/H75-1</f>
        <v>1.4148223653389858E-2</v>
      </c>
      <c r="J76" s="258">
        <v>66.109511999999995</v>
      </c>
      <c r="K76" s="27">
        <f t="shared" ref="K76" si="427">J76/J75-1</f>
        <v>4.7387695833515986E-2</v>
      </c>
      <c r="L76" s="258">
        <v>22.918322</v>
      </c>
      <c r="M76" s="27">
        <f t="shared" ref="M76" si="428">L76/L75-1</f>
        <v>4.5138752555635708E-2</v>
      </c>
      <c r="N76" s="258">
        <v>51.697411000000002</v>
      </c>
      <c r="O76" s="27">
        <f t="shared" ref="O76" si="429">N76/N75-1</f>
        <v>6.1209481808860433E-2</v>
      </c>
      <c r="P76" s="258">
        <v>39.999146000000003</v>
      </c>
      <c r="Q76" s="27">
        <f t="shared" ref="Q76" si="430">P76/P75-1</f>
        <v>1.6537073212410602E-2</v>
      </c>
      <c r="R76" s="258">
        <v>52.110000999999997</v>
      </c>
      <c r="S76" s="27">
        <f t="shared" ref="S76" si="431">R76/R75-1</f>
        <v>-2.2142990764815296E-2</v>
      </c>
      <c r="T76" s="259">
        <v>2767.780029</v>
      </c>
      <c r="U76" s="27">
        <f t="shared" ref="U76" si="432">T76/T75-1</f>
        <v>2.3495319247368585E-4</v>
      </c>
    </row>
    <row r="77" spans="1:21" x14ac:dyDescent="0.2">
      <c r="A77" s="223">
        <v>43395</v>
      </c>
      <c r="B77" s="1">
        <v>104.145561</v>
      </c>
      <c r="C77" s="27">
        <f t="shared" si="0"/>
        <v>1.4505352786540193E-3</v>
      </c>
      <c r="D77" s="258">
        <v>43.034053999999998</v>
      </c>
      <c r="E77" s="27">
        <f t="shared" si="0"/>
        <v>-8.8497030502788787E-3</v>
      </c>
      <c r="F77" s="258">
        <v>34.439681999999998</v>
      </c>
      <c r="G77" s="27">
        <f t="shared" ref="G77" si="433">F77/F76-1</f>
        <v>-3.1637488290761073E-2</v>
      </c>
      <c r="H77" s="258">
        <v>33.684672999999997</v>
      </c>
      <c r="I77" s="27">
        <f t="shared" ref="I77" si="434">H77/H76-1</f>
        <v>-5.8586585563701332E-3</v>
      </c>
      <c r="J77" s="258">
        <v>64.242439000000005</v>
      </c>
      <c r="K77" s="27">
        <f t="shared" ref="K77" si="435">J77/J76-1</f>
        <v>-2.8242123463261826E-2</v>
      </c>
      <c r="L77" s="258">
        <v>22.937356999999999</v>
      </c>
      <c r="M77" s="27">
        <f t="shared" ref="M77" si="436">L77/L76-1</f>
        <v>8.3055818833499551E-4</v>
      </c>
      <c r="N77" s="258">
        <v>49.083796999999997</v>
      </c>
      <c r="O77" s="27">
        <f t="shared" ref="O77" si="437">N77/N76-1</f>
        <v>-5.0555993993587123E-2</v>
      </c>
      <c r="P77" s="258">
        <v>38.381946999999997</v>
      </c>
      <c r="Q77" s="27">
        <f t="shared" ref="Q77" si="438">P77/P76-1</f>
        <v>-4.0430838198395658E-2</v>
      </c>
      <c r="R77" s="258">
        <v>51.049999</v>
      </c>
      <c r="S77" s="27">
        <f t="shared" ref="S77" si="439">R77/R76-1</f>
        <v>-2.0341623098414363E-2</v>
      </c>
      <c r="T77" s="259">
        <v>2658.6899410000001</v>
      </c>
      <c r="U77" s="27">
        <f t="shared" ref="U77" si="440">T77/T76-1</f>
        <v>-3.9414291185349115E-2</v>
      </c>
    </row>
    <row r="78" spans="1:21" x14ac:dyDescent="0.2">
      <c r="A78" s="223">
        <v>43402</v>
      </c>
      <c r="B78" s="1">
        <v>104.82446299999999</v>
      </c>
      <c r="C78" s="27">
        <f t="shared" si="0"/>
        <v>6.5187799986980988E-3</v>
      </c>
      <c r="D78" s="258">
        <v>44.983333999999999</v>
      </c>
      <c r="E78" s="27">
        <f t="shared" si="0"/>
        <v>4.5296220523402209E-2</v>
      </c>
      <c r="F78" s="258">
        <v>34.580334000000001</v>
      </c>
      <c r="G78" s="27">
        <f t="shared" ref="G78" si="441">F78/F77-1</f>
        <v>4.0840098349341769E-3</v>
      </c>
      <c r="H78" s="258">
        <v>33.285252</v>
      </c>
      <c r="I78" s="27">
        <f t="shared" ref="I78" si="442">H78/H77-1</f>
        <v>-1.1857648135696564E-2</v>
      </c>
      <c r="J78" s="258">
        <v>58.520443</v>
      </c>
      <c r="K78" s="27">
        <f t="shared" ref="K78" si="443">J78/J77-1</f>
        <v>-8.9068785199765022E-2</v>
      </c>
      <c r="L78" s="258">
        <v>25.364338</v>
      </c>
      <c r="M78" s="27">
        <f t="shared" ref="M78" si="444">L78/L77-1</f>
        <v>0.10580909561637819</v>
      </c>
      <c r="N78" s="258">
        <v>45.563057000000001</v>
      </c>
      <c r="O78" s="27">
        <f t="shared" ref="O78" si="445">N78/N77-1</f>
        <v>-7.1729169607640531E-2</v>
      </c>
      <c r="P78" s="258">
        <v>40.171391</v>
      </c>
      <c r="Q78" s="27">
        <f t="shared" ref="Q78" si="446">P78/P77-1</f>
        <v>4.6622022587858858E-2</v>
      </c>
      <c r="R78" s="258">
        <v>54.099997999999999</v>
      </c>
      <c r="S78" s="27">
        <f t="shared" ref="S78" si="447">R78/R77-1</f>
        <v>5.9745329280026072E-2</v>
      </c>
      <c r="T78" s="259">
        <v>2723.0600589999999</v>
      </c>
      <c r="U78" s="27">
        <f t="shared" ref="U78" si="448">T78/T77-1</f>
        <v>2.4211216587289863E-2</v>
      </c>
    </row>
    <row r="79" spans="1:21" x14ac:dyDescent="0.2">
      <c r="A79" s="223">
        <v>43409</v>
      </c>
      <c r="B79" s="1">
        <v>110.7743</v>
      </c>
      <c r="C79" s="27">
        <f t="shared" si="0"/>
        <v>5.6760004580228562E-2</v>
      </c>
      <c r="D79" s="258">
        <v>46.557755</v>
      </c>
      <c r="E79" s="27">
        <f t="shared" si="0"/>
        <v>3.5000095813262799E-2</v>
      </c>
      <c r="F79" s="258">
        <v>36.540011999999997</v>
      </c>
      <c r="G79" s="27">
        <f t="shared" ref="G79" si="449">F79/F78-1</f>
        <v>5.6670302837445119E-2</v>
      </c>
      <c r="H79" s="258">
        <v>32.705139000000003</v>
      </c>
      <c r="I79" s="27">
        <f t="shared" ref="I79" si="450">H79/H78-1</f>
        <v>-1.7428529608248033E-2</v>
      </c>
      <c r="J79" s="258">
        <v>60.387515999999998</v>
      </c>
      <c r="K79" s="27">
        <f t="shared" ref="K79" si="451">J79/J78-1</f>
        <v>3.1904628609868757E-2</v>
      </c>
      <c r="L79" s="258">
        <v>27.144127000000001</v>
      </c>
      <c r="M79" s="27">
        <f t="shared" ref="M79" si="452">L79/L78-1</f>
        <v>7.0168951383631661E-2</v>
      </c>
      <c r="N79" s="258">
        <v>48.491019999999999</v>
      </c>
      <c r="O79" s="27">
        <f t="shared" ref="O79" si="453">N79/N78-1</f>
        <v>6.4261776816248339E-2</v>
      </c>
      <c r="P79" s="258">
        <v>42.391433999999997</v>
      </c>
      <c r="Q79" s="27">
        <f t="shared" ref="Q79" si="454">P79/P78-1</f>
        <v>5.5264279994685639E-2</v>
      </c>
      <c r="R79" s="258">
        <v>56.84</v>
      </c>
      <c r="S79" s="27">
        <f t="shared" ref="S79" si="455">R79/R78-1</f>
        <v>5.0646988933345405E-2</v>
      </c>
      <c r="T79" s="259">
        <v>2781.01001</v>
      </c>
      <c r="U79" s="27">
        <f t="shared" ref="U79" si="456">T79/T78-1</f>
        <v>2.1281187246851019E-2</v>
      </c>
    </row>
    <row r="80" spans="1:21" x14ac:dyDescent="0.2">
      <c r="A80" s="223">
        <v>43416</v>
      </c>
      <c r="B80" s="1">
        <v>111.594643</v>
      </c>
      <c r="C80" s="27">
        <f t="shared" si="0"/>
        <v>7.405535399456431E-3</v>
      </c>
      <c r="D80" s="258">
        <v>47.016956</v>
      </c>
      <c r="E80" s="27">
        <f t="shared" si="0"/>
        <v>9.8630400026804566E-3</v>
      </c>
      <c r="F80" s="258">
        <v>36.239970999999997</v>
      </c>
      <c r="G80" s="27">
        <f t="shared" ref="G80" si="457">F80/F79-1</f>
        <v>-8.2112999853420909E-3</v>
      </c>
      <c r="H80" s="258">
        <v>31.449805999999999</v>
      </c>
      <c r="I80" s="27">
        <f t="shared" ref="I80" si="458">H80/H79-1</f>
        <v>-3.8383356205885732E-2</v>
      </c>
      <c r="J80" s="258">
        <v>57.340739999999997</v>
      </c>
      <c r="K80" s="27">
        <f t="shared" ref="K80" si="459">J80/J79-1</f>
        <v>-5.0453739478206083E-2</v>
      </c>
      <c r="L80" s="258">
        <v>26.373201000000002</v>
      </c>
      <c r="M80" s="27">
        <f t="shared" ref="M80" si="460">L80/L79-1</f>
        <v>-2.8401208114005594E-2</v>
      </c>
      <c r="N80" s="258">
        <v>46.775562000000001</v>
      </c>
      <c r="O80" s="27">
        <f t="shared" ref="O80" si="461">N80/N79-1</f>
        <v>-3.5376818223250339E-2</v>
      </c>
      <c r="P80" s="258">
        <v>42.362732000000001</v>
      </c>
      <c r="Q80" s="27">
        <f t="shared" ref="Q80" si="462">P80/P79-1</f>
        <v>-6.7707074971790071E-4</v>
      </c>
      <c r="R80" s="258">
        <v>55.77</v>
      </c>
      <c r="S80" s="27">
        <f t="shared" ref="S80" si="463">R80/R79-1</f>
        <v>-1.8824771287825448E-2</v>
      </c>
      <c r="T80" s="259">
        <v>2736.2700199999999</v>
      </c>
      <c r="U80" s="27">
        <f t="shared" ref="U80" si="464">T80/T79-1</f>
        <v>-1.6087676721451283E-2</v>
      </c>
    </row>
    <row r="81" spans="1:21" x14ac:dyDescent="0.2">
      <c r="A81" s="223">
        <v>43423</v>
      </c>
      <c r="B81" s="1">
        <v>108.82244900000001</v>
      </c>
      <c r="C81" s="27">
        <f t="shared" si="0"/>
        <v>-2.48416404719356E-2</v>
      </c>
      <c r="D81" s="258">
        <v>45.939231999999997</v>
      </c>
      <c r="E81" s="27">
        <f t="shared" si="0"/>
        <v>-2.2922028384823601E-2</v>
      </c>
      <c r="F81" s="258">
        <v>38.002735000000001</v>
      </c>
      <c r="G81" s="27">
        <f t="shared" ref="G81" si="465">F81/F80-1</f>
        <v>4.8641429652358292E-2</v>
      </c>
      <c r="H81" s="258">
        <v>31.563927</v>
      </c>
      <c r="I81" s="27">
        <f t="shared" ref="I81" si="466">H81/H80-1</f>
        <v>3.6286710321837834E-3</v>
      </c>
      <c r="J81" s="258">
        <v>57.350028999999999</v>
      </c>
      <c r="K81" s="27">
        <f t="shared" ref="K81" si="467">J81/J80-1</f>
        <v>1.6199651417125871E-4</v>
      </c>
      <c r="L81" s="258">
        <v>25.259647000000001</v>
      </c>
      <c r="M81" s="27">
        <f t="shared" ref="M81" si="468">L81/L80-1</f>
        <v>-4.2222936836525893E-2</v>
      </c>
      <c r="N81" s="258">
        <v>46.392302999999998</v>
      </c>
      <c r="O81" s="27">
        <f t="shared" ref="O81" si="469">N81/N80-1</f>
        <v>-8.1935733877447348E-3</v>
      </c>
      <c r="P81" s="258">
        <v>41.903412000000003</v>
      </c>
      <c r="Q81" s="27">
        <f t="shared" ref="Q81" si="470">P81/P80-1</f>
        <v>-1.0842549059394857E-2</v>
      </c>
      <c r="R81" s="258">
        <v>57.32</v>
      </c>
      <c r="S81" s="27">
        <f t="shared" ref="S81" si="471">R81/R80-1</f>
        <v>2.7792720100412449E-2</v>
      </c>
      <c r="T81" s="259">
        <v>2632.5600589999999</v>
      </c>
      <c r="U81" s="27">
        <f t="shared" ref="U81" si="472">T81/T80-1</f>
        <v>-3.7901946899231875E-2</v>
      </c>
    </row>
    <row r="82" spans="1:21" x14ac:dyDescent="0.2">
      <c r="A82" s="223">
        <v>43430</v>
      </c>
      <c r="B82" s="1">
        <v>114.979721</v>
      </c>
      <c r="C82" s="27">
        <f t="shared" si="0"/>
        <v>5.6580899038579657E-2</v>
      </c>
      <c r="D82" s="258">
        <v>47.232501999999997</v>
      </c>
      <c r="E82" s="27">
        <f t="shared" si="0"/>
        <v>2.8151754909616189E-2</v>
      </c>
      <c r="F82" s="258">
        <v>36.755676000000001</v>
      </c>
      <c r="G82" s="27">
        <f t="shared" ref="G82" si="473">F82/F81-1</f>
        <v>-3.281498029023433E-2</v>
      </c>
      <c r="H82" s="258">
        <v>30.755569000000001</v>
      </c>
      <c r="I82" s="27">
        <f t="shared" ref="I82" si="474">H82/H81-1</f>
        <v>-2.5610184689629945E-2</v>
      </c>
      <c r="J82" s="258">
        <v>59.124222000000003</v>
      </c>
      <c r="K82" s="27">
        <f t="shared" ref="K82" si="475">J82/J81-1</f>
        <v>3.0936218009584682E-2</v>
      </c>
      <c r="L82" s="258">
        <v>25.697454</v>
      </c>
      <c r="M82" s="27">
        <f t="shared" ref="M82" si="476">L82/L81-1</f>
        <v>1.7332269132660505E-2</v>
      </c>
      <c r="N82" s="258">
        <v>46.465023000000002</v>
      </c>
      <c r="O82" s="27">
        <f t="shared" ref="O82" si="477">N82/N81-1</f>
        <v>1.5675014021183653E-3</v>
      </c>
      <c r="P82" s="258">
        <v>43.042136999999997</v>
      </c>
      <c r="Q82" s="27">
        <f t="shared" ref="Q82" si="478">P82/P81-1</f>
        <v>2.7174994723579982E-2</v>
      </c>
      <c r="R82" s="258">
        <v>59.68</v>
      </c>
      <c r="S82" s="27">
        <f t="shared" ref="S82" si="479">R82/R81-1</f>
        <v>4.1172365666434008E-2</v>
      </c>
      <c r="T82" s="259">
        <v>2760.169922</v>
      </c>
      <c r="U82" s="27">
        <f t="shared" ref="U82" si="480">T82/T81-1</f>
        <v>4.8473675866857135E-2</v>
      </c>
    </row>
    <row r="83" spans="1:21" x14ac:dyDescent="0.2">
      <c r="A83" s="223">
        <v>43437</v>
      </c>
      <c r="B83" s="1">
        <v>109.209053</v>
      </c>
      <c r="C83" s="27">
        <f t="shared" si="0"/>
        <v>-5.0188571948265537E-2</v>
      </c>
      <c r="D83" s="258">
        <v>46.368609999999997</v>
      </c>
      <c r="E83" s="27">
        <f t="shared" si="0"/>
        <v>-1.8290201946109086E-2</v>
      </c>
      <c r="F83" s="258">
        <v>35.414841000000003</v>
      </c>
      <c r="G83" s="27">
        <f t="shared" ref="G83" si="481">F83/F82-1</f>
        <v>-3.6479671874352082E-2</v>
      </c>
      <c r="H83" s="258">
        <v>29.329059999999998</v>
      </c>
      <c r="I83" s="27">
        <f t="shared" ref="I83" si="482">H83/H82-1</f>
        <v>-4.6382136516479489E-2</v>
      </c>
      <c r="J83" s="258">
        <v>57.018852000000003</v>
      </c>
      <c r="K83" s="27">
        <f t="shared" ref="K83" si="483">J83/J82-1</f>
        <v>-3.5609263492718757E-2</v>
      </c>
      <c r="L83" s="258">
        <v>25.031224999999999</v>
      </c>
      <c r="M83" s="27">
        <f t="shared" ref="M83" si="484">L83/L82-1</f>
        <v>-2.5925875769638562E-2</v>
      </c>
      <c r="N83" s="258">
        <v>44.274467000000001</v>
      </c>
      <c r="O83" s="27">
        <f t="shared" ref="O83" si="485">N83/N82-1</f>
        <v>-4.7144192740418922E-2</v>
      </c>
      <c r="P83" s="258">
        <v>41.912975000000003</v>
      </c>
      <c r="Q83" s="27">
        <f t="shared" ref="Q83" si="486">P83/P82-1</f>
        <v>-2.6233874029070514E-2</v>
      </c>
      <c r="R83" s="258">
        <v>57.41</v>
      </c>
      <c r="S83" s="27">
        <f t="shared" ref="S83" si="487">R83/R82-1</f>
        <v>-3.8036193029490684E-2</v>
      </c>
      <c r="T83" s="259">
        <v>2633.080078</v>
      </c>
      <c r="U83" s="27">
        <f t="shared" ref="U83" si="488">T83/T82-1</f>
        <v>-4.6044210172362043E-2</v>
      </c>
    </row>
    <row r="84" spans="1:21" x14ac:dyDescent="0.2">
      <c r="A84" s="223">
        <v>43444</v>
      </c>
      <c r="B84" s="1">
        <v>108.29894299999999</v>
      </c>
      <c r="C84" s="27">
        <f t="shared" si="0"/>
        <v>-8.3336497753533356E-3</v>
      </c>
      <c r="D84" s="258">
        <v>46.604759000000001</v>
      </c>
      <c r="E84" s="27">
        <f t="shared" si="0"/>
        <v>5.0928634694895614E-3</v>
      </c>
      <c r="F84" s="258">
        <v>36.718165999999997</v>
      </c>
      <c r="G84" s="27">
        <f t="shared" ref="G84" si="489">F84/F83-1</f>
        <v>3.6801661766602045E-2</v>
      </c>
      <c r="H84" s="258">
        <v>28.425602000000001</v>
      </c>
      <c r="I84" s="27">
        <f t="shared" ref="I84" si="490">H84/H83-1</f>
        <v>-3.0804192156175358E-2</v>
      </c>
      <c r="J84" s="258">
        <v>56.568995999999999</v>
      </c>
      <c r="K84" s="27">
        <f t="shared" ref="K84" si="491">J84/J83-1</f>
        <v>-7.889601144547842E-3</v>
      </c>
      <c r="L84" s="258">
        <v>24.669554000000002</v>
      </c>
      <c r="M84" s="27">
        <f t="shared" ref="M84" si="492">L84/L83-1</f>
        <v>-1.4448793456972142E-2</v>
      </c>
      <c r="N84" s="258">
        <v>43.138297999999999</v>
      </c>
      <c r="O84" s="27">
        <f t="shared" ref="O84" si="493">N84/N83-1</f>
        <v>-2.5661946421625004E-2</v>
      </c>
      <c r="P84" s="258">
        <v>41.673755999999997</v>
      </c>
      <c r="Q84" s="27">
        <f t="shared" ref="Q84" si="494">P84/P83-1</f>
        <v>-5.7075165864509669E-3</v>
      </c>
      <c r="R84" s="258">
        <v>52.689999</v>
      </c>
      <c r="S84" s="27">
        <f t="shared" ref="S84" si="495">R84/R83-1</f>
        <v>-8.2215659292806054E-2</v>
      </c>
      <c r="T84" s="259">
        <v>2599.9499510000001</v>
      </c>
      <c r="U84" s="27">
        <f t="shared" ref="U84" si="496">T84/T83-1</f>
        <v>-1.2582270959705988E-2</v>
      </c>
    </row>
    <row r="85" spans="1:21" x14ac:dyDescent="0.2">
      <c r="A85" s="223">
        <v>43451</v>
      </c>
      <c r="B85" s="1">
        <v>103.993599</v>
      </c>
      <c r="C85" s="27">
        <f t="shared" si="0"/>
        <v>-3.9754256881343597E-2</v>
      </c>
      <c r="D85" s="258">
        <v>44.932876999999998</v>
      </c>
      <c r="E85" s="27">
        <f t="shared" si="0"/>
        <v>-3.587363256185927E-2</v>
      </c>
      <c r="F85" s="258">
        <v>33.520794000000002</v>
      </c>
      <c r="G85" s="27">
        <f t="shared" ref="G85" si="497">F85/F84-1</f>
        <v>-8.7078750066111543E-2</v>
      </c>
      <c r="H85" s="258">
        <v>21.064807999999999</v>
      </c>
      <c r="I85" s="27">
        <f t="shared" ref="I85" si="498">H85/H84-1</f>
        <v>-0.25894944986565283</v>
      </c>
      <c r="J85" s="258">
        <v>54.019835999999998</v>
      </c>
      <c r="K85" s="27">
        <f t="shared" ref="K85" si="499">J85/J84-1</f>
        <v>-4.5062846793321176E-2</v>
      </c>
      <c r="L85" s="258">
        <v>23.908152000000001</v>
      </c>
      <c r="M85" s="27">
        <f t="shared" ref="M85" si="500">L85/L84-1</f>
        <v>-3.0864035888123476E-2</v>
      </c>
      <c r="N85" s="258">
        <v>40.038815</v>
      </c>
      <c r="O85" s="27">
        <f t="shared" ref="O85" si="501">N85/N84-1</f>
        <v>-7.1849913967398482E-2</v>
      </c>
      <c r="P85" s="258">
        <v>38.927402000000001</v>
      </c>
      <c r="Q85" s="27">
        <f t="shared" ref="Q85" si="502">P85/P84-1</f>
        <v>-6.5901283292055468E-2</v>
      </c>
      <c r="R85" s="258">
        <v>48.23</v>
      </c>
      <c r="S85" s="27">
        <f t="shared" ref="S85" si="503">R85/R84-1</f>
        <v>-8.4646025519947377E-2</v>
      </c>
      <c r="T85" s="259">
        <v>2416.6201169999999</v>
      </c>
      <c r="U85" s="27">
        <f t="shared" ref="U85" si="504">T85/T84-1</f>
        <v>-7.0512831960279576E-2</v>
      </c>
    </row>
    <row r="86" spans="1:21" x14ac:dyDescent="0.2">
      <c r="A86" s="223">
        <v>43458</v>
      </c>
      <c r="B86" s="1">
        <v>104.886978</v>
      </c>
      <c r="C86" s="27">
        <f t="shared" si="0"/>
        <v>8.5907114340757484E-3</v>
      </c>
      <c r="D86" s="258">
        <v>44.583393000000001</v>
      </c>
      <c r="E86" s="27">
        <f t="shared" si="0"/>
        <v>-7.7779128187139834E-3</v>
      </c>
      <c r="F86" s="258">
        <v>31.354834</v>
      </c>
      <c r="G86" s="27">
        <f t="shared" ref="G86" si="505">F86/F85-1</f>
        <v>-6.4615414539405003E-2</v>
      </c>
      <c r="H86" s="258">
        <v>20.142332</v>
      </c>
      <c r="I86" s="27">
        <f t="shared" ref="I86" si="506">H86/H85-1</f>
        <v>-4.3792281420272139E-2</v>
      </c>
      <c r="J86" s="258">
        <v>53.654324000000003</v>
      </c>
      <c r="K86" s="27">
        <f t="shared" ref="K86" si="507">J86/J85-1</f>
        <v>-6.766255269638255E-3</v>
      </c>
      <c r="L86" s="258">
        <v>24.184159999999999</v>
      </c>
      <c r="M86" s="27">
        <f t="shared" ref="M86" si="508">L86/L85-1</f>
        <v>1.1544514189135047E-2</v>
      </c>
      <c r="N86" s="258">
        <v>39.602528</v>
      </c>
      <c r="O86" s="27">
        <f t="shared" ref="O86" si="509">N86/N85-1</f>
        <v>-1.0896601210600321E-2</v>
      </c>
      <c r="P86" s="258">
        <v>38.171432000000003</v>
      </c>
      <c r="Q86" s="27">
        <f t="shared" ref="Q86" si="510">P86/P85-1</f>
        <v>-1.9419996227849956E-2</v>
      </c>
      <c r="R86" s="258">
        <v>49.040000999999997</v>
      </c>
      <c r="S86" s="27">
        <f t="shared" ref="S86" si="511">R86/R85-1</f>
        <v>1.6794546962471513E-2</v>
      </c>
      <c r="T86" s="259">
        <v>2485.73999</v>
      </c>
      <c r="U86" s="27">
        <f t="shared" ref="U86" si="512">T86/T85-1</f>
        <v>2.8601877686016186E-2</v>
      </c>
    </row>
    <row r="87" spans="1:21" x14ac:dyDescent="0.2">
      <c r="A87" s="223">
        <v>43465</v>
      </c>
      <c r="B87" s="1">
        <v>105.00103</v>
      </c>
      <c r="C87" s="27">
        <f t="shared" ref="C87:E150" si="513">B87/B86-1</f>
        <v>1.0873799796196071E-3</v>
      </c>
      <c r="D87" s="258">
        <v>44.932876999999998</v>
      </c>
      <c r="E87" s="27">
        <f t="shared" si="513"/>
        <v>7.8388829670275051E-3</v>
      </c>
      <c r="F87" s="258">
        <v>30.792252999999999</v>
      </c>
      <c r="G87" s="27">
        <f t="shared" ref="G87" si="514">F87/F86-1</f>
        <v>-1.7942400843200201E-2</v>
      </c>
      <c r="H87" s="258">
        <v>20.789014999999999</v>
      </c>
      <c r="I87" s="27">
        <f t="shared" ref="I87" si="515">H87/H86-1</f>
        <v>3.2105666811568678E-2</v>
      </c>
      <c r="J87" s="258">
        <v>53.701186999999997</v>
      </c>
      <c r="K87" s="27">
        <f t="shared" ref="K87" si="516">J87/J86-1</f>
        <v>8.7342447926452849E-4</v>
      </c>
      <c r="L87" s="258">
        <v>24.326920999999999</v>
      </c>
      <c r="M87" s="27">
        <f t="shared" ref="M87" si="517">L87/L86-1</f>
        <v>5.9030787093701242E-3</v>
      </c>
      <c r="N87" s="258">
        <v>40.438751000000003</v>
      </c>
      <c r="O87" s="27">
        <f t="shared" ref="O87" si="518">N87/N86-1</f>
        <v>2.1115394451586722E-2</v>
      </c>
      <c r="P87" s="258">
        <v>39.334716999999998</v>
      </c>
      <c r="Q87" s="27">
        <f t="shared" ref="Q87" si="519">P87/P86-1</f>
        <v>3.0475277951322211E-2</v>
      </c>
      <c r="R87" s="258">
        <v>49.790000999999997</v>
      </c>
      <c r="S87" s="27">
        <f t="shared" ref="S87" si="520">R87/R86-1</f>
        <v>1.5293637534795401E-2</v>
      </c>
      <c r="T87" s="259">
        <v>2531.9399410000001</v>
      </c>
      <c r="U87" s="27">
        <f t="shared" ref="U87" si="521">T87/T86-1</f>
        <v>1.8585994989765542E-2</v>
      </c>
    </row>
    <row r="88" spans="1:21" x14ac:dyDescent="0.2">
      <c r="A88" s="223">
        <v>43472</v>
      </c>
      <c r="B88" s="1">
        <v>102.796082</v>
      </c>
      <c r="C88" s="27">
        <f t="shared" si="513"/>
        <v>-2.0999298768783481E-2</v>
      </c>
      <c r="D88" s="258">
        <v>44.715637000000001</v>
      </c>
      <c r="E88" s="27">
        <f t="shared" si="513"/>
        <v>-4.8347672017529097E-3</v>
      </c>
      <c r="F88" s="258">
        <v>32.855072</v>
      </c>
      <c r="G88" s="27">
        <f t="shared" ref="G88" si="522">F88/F87-1</f>
        <v>6.6991492957660492E-2</v>
      </c>
      <c r="H88" s="258">
        <v>20.551268</v>
      </c>
      <c r="I88" s="27">
        <f t="shared" ref="I88" si="523">H88/H87-1</f>
        <v>-1.1436183965425895E-2</v>
      </c>
      <c r="J88" s="258">
        <v>54.900795000000002</v>
      </c>
      <c r="K88" s="27">
        <f t="shared" ref="K88" si="524">J88/J87-1</f>
        <v>2.2338575123115989E-2</v>
      </c>
      <c r="L88" s="258">
        <v>25.850842</v>
      </c>
      <c r="M88" s="27">
        <f t="shared" ref="M88" si="525">L88/L87-1</f>
        <v>6.2643398233586556E-2</v>
      </c>
      <c r="N88" s="258">
        <v>41.456760000000003</v>
      </c>
      <c r="O88" s="27">
        <f t="shared" ref="O88" si="526">N88/N87-1</f>
        <v>2.5174096005091684E-2</v>
      </c>
      <c r="P88" s="258">
        <v>40.673484999999999</v>
      </c>
      <c r="Q88" s="27">
        <f t="shared" ref="Q88" si="527">P88/P87-1</f>
        <v>3.4035277284440557E-2</v>
      </c>
      <c r="R88" s="258">
        <v>54.369999</v>
      </c>
      <c r="S88" s="27">
        <f t="shared" ref="S88" si="528">R88/R87-1</f>
        <v>9.198630062289026E-2</v>
      </c>
      <c r="T88" s="259">
        <v>2596.26001</v>
      </c>
      <c r="U88" s="27">
        <f t="shared" ref="U88" si="529">T88/T87-1</f>
        <v>2.5403473423068812E-2</v>
      </c>
    </row>
    <row r="89" spans="1:21" x14ac:dyDescent="0.2">
      <c r="A89" s="223">
        <v>43479</v>
      </c>
      <c r="B89" s="1">
        <v>104.61135899999999</v>
      </c>
      <c r="C89" s="27">
        <f t="shared" si="513"/>
        <v>1.7659009610891507E-2</v>
      </c>
      <c r="D89" s="258">
        <v>44.970661</v>
      </c>
      <c r="E89" s="27">
        <f t="shared" si="513"/>
        <v>5.703239786117642E-3</v>
      </c>
      <c r="F89" s="258">
        <v>33.626347000000003</v>
      </c>
      <c r="G89" s="27">
        <f t="shared" ref="G89" si="530">F89/F88-1</f>
        <v>2.3475066498104269E-2</v>
      </c>
      <c r="H89" s="258">
        <v>20.513224000000001</v>
      </c>
      <c r="I89" s="27">
        <f t="shared" ref="I89" si="531">H89/H88-1</f>
        <v>-1.8511753143406473E-3</v>
      </c>
      <c r="J89" s="258">
        <v>55.697406999999998</v>
      </c>
      <c r="K89" s="27">
        <f t="shared" ref="K89" si="532">J89/J88-1</f>
        <v>1.4510026676298526E-2</v>
      </c>
      <c r="L89" s="258">
        <v>25.534883000000001</v>
      </c>
      <c r="M89" s="27">
        <f t="shared" ref="M89" si="533">L89/L88-1</f>
        <v>-1.2222387185686245E-2</v>
      </c>
      <c r="N89" s="258">
        <v>43.201923000000001</v>
      </c>
      <c r="O89" s="27">
        <f t="shared" ref="O89" si="534">N89/N88-1</f>
        <v>4.2095981451517162E-2</v>
      </c>
      <c r="P89" s="258">
        <v>41.761837</v>
      </c>
      <c r="Q89" s="27">
        <f t="shared" ref="Q89" si="535">P89/P88-1</f>
        <v>2.6758267701919358E-2</v>
      </c>
      <c r="R89" s="258">
        <v>55.580002</v>
      </c>
      <c r="S89" s="27">
        <f t="shared" ref="S89" si="536">R89/R88-1</f>
        <v>2.2254975579455216E-2</v>
      </c>
      <c r="T89" s="259">
        <v>2670.709961</v>
      </c>
      <c r="U89" s="27">
        <f t="shared" ref="U89" si="537">T89/T88-1</f>
        <v>2.867584552904634E-2</v>
      </c>
    </row>
    <row r="90" spans="1:21" x14ac:dyDescent="0.2">
      <c r="A90" s="223">
        <v>43486</v>
      </c>
      <c r="B90" s="1">
        <v>103.927071</v>
      </c>
      <c r="C90" s="27">
        <f t="shared" si="513"/>
        <v>-6.5412399431690194E-3</v>
      </c>
      <c r="D90" s="258">
        <v>44.743965000000003</v>
      </c>
      <c r="E90" s="27">
        <f t="shared" si="513"/>
        <v>-5.0409754928885109E-3</v>
      </c>
      <c r="F90" s="258">
        <v>32.441986</v>
      </c>
      <c r="G90" s="27">
        <f t="shared" ref="G90" si="538">F90/F89-1</f>
        <v>-3.5221221026476734E-2</v>
      </c>
      <c r="H90" s="258">
        <v>19.980661000000001</v>
      </c>
      <c r="I90" s="27">
        <f t="shared" ref="I90" si="539">H90/H89-1</f>
        <v>-2.5961935578727169E-2</v>
      </c>
      <c r="J90" s="258">
        <v>54.151035</v>
      </c>
      <c r="K90" s="27">
        <f t="shared" ref="K90" si="540">J90/J89-1</f>
        <v>-2.7763805952402687E-2</v>
      </c>
      <c r="L90" s="258">
        <v>25.180634000000001</v>
      </c>
      <c r="M90" s="27">
        <f t="shared" ref="M90" si="541">L90/L89-1</f>
        <v>-1.3873139735944728E-2</v>
      </c>
      <c r="N90" s="258">
        <v>42.49295</v>
      </c>
      <c r="O90" s="27">
        <f t="shared" ref="O90" si="542">N90/N89-1</f>
        <v>-1.6410681533782667E-2</v>
      </c>
      <c r="P90" s="258">
        <v>41.145423999999998</v>
      </c>
      <c r="Q90" s="27">
        <f t="shared" ref="Q90" si="543">P90/P89-1</f>
        <v>-1.4760198407938852E-2</v>
      </c>
      <c r="R90" s="258">
        <v>55.849997999999999</v>
      </c>
      <c r="S90" s="27">
        <f t="shared" ref="S90" si="544">R90/R89-1</f>
        <v>4.8577903973447967E-3</v>
      </c>
      <c r="T90" s="259">
        <v>2664.76001</v>
      </c>
      <c r="U90" s="27">
        <f t="shared" ref="U90" si="545">T90/T89-1</f>
        <v>-2.2278536744484434E-3</v>
      </c>
    </row>
    <row r="91" spans="1:21" x14ac:dyDescent="0.2">
      <c r="A91" s="223">
        <v>43493</v>
      </c>
      <c r="B91" s="1">
        <v>106.626228</v>
      </c>
      <c r="C91" s="27">
        <f t="shared" si="513"/>
        <v>2.5971645058677773E-2</v>
      </c>
      <c r="D91" s="258">
        <v>46.000239999999998</v>
      </c>
      <c r="E91" s="27">
        <f t="shared" si="513"/>
        <v>2.8076970827238812E-2</v>
      </c>
      <c r="F91" s="258">
        <v>33.171551000000001</v>
      </c>
      <c r="G91" s="27">
        <f t="shared" ref="G91" si="546">F91/F90-1</f>
        <v>2.248829649331574E-2</v>
      </c>
      <c r="H91" s="258">
        <v>20.351551000000001</v>
      </c>
      <c r="I91" s="27">
        <f t="shared" ref="I91" si="547">H91/H90-1</f>
        <v>1.8562448960021793E-2</v>
      </c>
      <c r="J91" s="258">
        <v>55.013255999999998</v>
      </c>
      <c r="K91" s="27">
        <f t="shared" ref="K91" si="548">J91/J90-1</f>
        <v>1.5922521148487689E-2</v>
      </c>
      <c r="L91" s="258">
        <v>26.051905000000001</v>
      </c>
      <c r="M91" s="27">
        <f t="shared" ref="M91" si="549">L91/L90-1</f>
        <v>3.4600836499986354E-2</v>
      </c>
      <c r="N91" s="258">
        <v>43.410980000000002</v>
      </c>
      <c r="O91" s="27">
        <f t="shared" ref="O91" si="550">N91/N90-1</f>
        <v>2.1604289652754183E-2</v>
      </c>
      <c r="P91" s="258">
        <v>43.890377000000001</v>
      </c>
      <c r="Q91" s="27">
        <f t="shared" ref="Q91" si="551">P91/P90-1</f>
        <v>6.6713445461152654E-2</v>
      </c>
      <c r="R91" s="258">
        <v>57.950001</v>
      </c>
      <c r="S91" s="27">
        <f t="shared" ref="S91" si="552">R91/R90-1</f>
        <v>3.760077126591832E-2</v>
      </c>
      <c r="T91" s="259">
        <v>2706.530029</v>
      </c>
      <c r="U91" s="27">
        <f t="shared" ref="U91" si="553">T91/T90-1</f>
        <v>1.5674964665955082E-2</v>
      </c>
    </row>
    <row r="92" spans="1:21" x14ac:dyDescent="0.2">
      <c r="A92" s="223">
        <v>43500</v>
      </c>
      <c r="B92" s="1">
        <v>107.41506200000001</v>
      </c>
      <c r="C92" s="27">
        <f t="shared" si="513"/>
        <v>7.3981234710844834E-3</v>
      </c>
      <c r="D92" s="258">
        <v>46.755885999999997</v>
      </c>
      <c r="E92" s="27">
        <f t="shared" si="513"/>
        <v>1.6427001250428175E-2</v>
      </c>
      <c r="F92" s="258">
        <v>32.489364999999999</v>
      </c>
      <c r="G92" s="27">
        <f t="shared" ref="G92" si="554">F92/F91-1</f>
        <v>-2.0565393520489916E-2</v>
      </c>
      <c r="H92" s="258">
        <v>21.315605000000001</v>
      </c>
      <c r="I92" s="27">
        <f t="shared" ref="I92" si="555">H92/H91-1</f>
        <v>4.737005056764465E-2</v>
      </c>
      <c r="J92" s="258">
        <v>51.883029999999998</v>
      </c>
      <c r="K92" s="27">
        <f t="shared" ref="K92" si="556">J92/J91-1</f>
        <v>-5.6899486189292303E-2</v>
      </c>
      <c r="L92" s="258">
        <v>26.597640999999999</v>
      </c>
      <c r="M92" s="27">
        <f t="shared" ref="M92" si="557">L92/L91-1</f>
        <v>2.0948026641429696E-2</v>
      </c>
      <c r="N92" s="258">
        <v>43.138297999999999</v>
      </c>
      <c r="O92" s="27">
        <f t="shared" ref="O92" si="558">N92/N91-1</f>
        <v>-6.2814062248768288E-3</v>
      </c>
      <c r="P92" s="258">
        <v>45.171351999999999</v>
      </c>
      <c r="Q92" s="27">
        <f t="shared" ref="Q92" si="559">P92/P91-1</f>
        <v>2.9185782569149499E-2</v>
      </c>
      <c r="R92" s="258">
        <v>57.889999000000003</v>
      </c>
      <c r="S92" s="27">
        <f t="shared" ref="S92" si="560">R92/R91-1</f>
        <v>-1.035409818198274E-3</v>
      </c>
      <c r="T92" s="259">
        <v>2707.8798830000001</v>
      </c>
      <c r="U92" s="27">
        <f t="shared" ref="U92" si="561">T92/T91-1</f>
        <v>4.9873970934610767E-4</v>
      </c>
    </row>
    <row r="93" spans="1:21" x14ac:dyDescent="0.2">
      <c r="A93" s="223">
        <v>43507</v>
      </c>
      <c r="B93" s="1">
        <v>110.161751</v>
      </c>
      <c r="C93" s="27">
        <f t="shared" si="513"/>
        <v>2.5570799372624187E-2</v>
      </c>
      <c r="D93" s="258">
        <v>42.732052000000003</v>
      </c>
      <c r="E93" s="27">
        <f t="shared" si="513"/>
        <v>-8.6060480171416098E-2</v>
      </c>
      <c r="F93" s="258">
        <v>32.963107999999998</v>
      </c>
      <c r="G93" s="27">
        <f t="shared" ref="G93" si="562">F93/F92-1</f>
        <v>1.4581479200963088E-2</v>
      </c>
      <c r="H93" s="258">
        <v>23.534579999999998</v>
      </c>
      <c r="I93" s="27">
        <f t="shared" ref="I93" si="563">H93/H92-1</f>
        <v>0.10410096265154078</v>
      </c>
      <c r="J93" s="258">
        <v>53.223216999999998</v>
      </c>
      <c r="K93" s="27">
        <f t="shared" ref="K93" si="564">J93/J92-1</f>
        <v>2.5830931616753983E-2</v>
      </c>
      <c r="L93" s="258">
        <v>27.038065</v>
      </c>
      <c r="M93" s="27">
        <f t="shared" ref="M93" si="565">L93/L92-1</f>
        <v>1.6558761733794336E-2</v>
      </c>
      <c r="N93" s="258">
        <v>43.283729999999998</v>
      </c>
      <c r="O93" s="27">
        <f t="shared" ref="O93" si="566">N93/N92-1</f>
        <v>3.3712966608001604E-3</v>
      </c>
      <c r="P93" s="258">
        <v>46.384914000000002</v>
      </c>
      <c r="Q93" s="27">
        <f t="shared" ref="Q93" si="567">P93/P92-1</f>
        <v>2.6865744465651709E-2</v>
      </c>
      <c r="R93" s="258">
        <v>58.720001000000003</v>
      </c>
      <c r="S93" s="27">
        <f t="shared" ref="S93" si="568">R93/R92-1</f>
        <v>1.4337571503499236E-2</v>
      </c>
      <c r="T93" s="259">
        <v>2775.6000979999999</v>
      </c>
      <c r="U93" s="27">
        <f t="shared" ref="U93" si="569">T93/T92-1</f>
        <v>2.5008574207868506E-2</v>
      </c>
    </row>
    <row r="94" spans="1:21" x14ac:dyDescent="0.2">
      <c r="A94" s="223">
        <v>43514</v>
      </c>
      <c r="B94" s="1">
        <v>110.969589</v>
      </c>
      <c r="C94" s="27">
        <f t="shared" si="513"/>
        <v>7.3331986162783469E-3</v>
      </c>
      <c r="D94" s="258">
        <v>42.769829000000001</v>
      </c>
      <c r="E94" s="27">
        <f t="shared" si="513"/>
        <v>8.8404366820471481E-4</v>
      </c>
      <c r="F94" s="258">
        <v>31.106031000000002</v>
      </c>
      <c r="G94" s="27">
        <f t="shared" ref="G94" si="570">F94/F93-1</f>
        <v>-5.633804312384616E-2</v>
      </c>
      <c r="H94" s="258">
        <v>22.45871</v>
      </c>
      <c r="I94" s="27">
        <f t="shared" ref="I94" si="571">H94/H93-1</f>
        <v>-4.5714433824610379E-2</v>
      </c>
      <c r="J94" s="258">
        <v>53.166984999999997</v>
      </c>
      <c r="K94" s="27">
        <f t="shared" ref="K94" si="572">J94/J93-1</f>
        <v>-1.0565314005728244E-3</v>
      </c>
      <c r="L94" s="258">
        <v>26.310410000000001</v>
      </c>
      <c r="M94" s="27">
        <f t="shared" ref="M94" si="573">L94/L93-1</f>
        <v>-2.6912243905027888E-2</v>
      </c>
      <c r="N94" s="258">
        <v>31.767461999999998</v>
      </c>
      <c r="O94" s="27">
        <f t="shared" ref="O94" si="574">N94/N93-1</f>
        <v>-0.26606459286202921</v>
      </c>
      <c r="P94" s="258">
        <v>45.961136000000003</v>
      </c>
      <c r="Q94" s="27">
        <f t="shared" ref="Q94" si="575">P94/P93-1</f>
        <v>-9.136116971134145E-3</v>
      </c>
      <c r="R94" s="258">
        <v>58.439999</v>
      </c>
      <c r="S94" s="27">
        <f t="shared" ref="S94" si="576">R94/R93-1</f>
        <v>-4.7684263493116275E-3</v>
      </c>
      <c r="T94" s="259">
        <v>2792.669922</v>
      </c>
      <c r="U94" s="27">
        <f t="shared" ref="U94" si="577">T94/T93-1</f>
        <v>6.1499579900938794E-3</v>
      </c>
    </row>
    <row r="95" spans="1:21" x14ac:dyDescent="0.2">
      <c r="A95" s="223">
        <v>43521</v>
      </c>
      <c r="B95" s="1">
        <v>110.41835</v>
      </c>
      <c r="C95" s="27">
        <f t="shared" si="513"/>
        <v>-4.9674780718526046E-3</v>
      </c>
      <c r="D95" s="258">
        <v>42.864291999999999</v>
      </c>
      <c r="E95" s="27">
        <f t="shared" si="513"/>
        <v>2.2086363730844383E-3</v>
      </c>
      <c r="F95" s="258">
        <v>34.441184999999997</v>
      </c>
      <c r="G95" s="27">
        <f t="shared" ref="G95" si="578">F95/F94-1</f>
        <v>0.107218886266782</v>
      </c>
      <c r="H95" s="258">
        <v>22.343440999999999</v>
      </c>
      <c r="I95" s="27">
        <f t="shared" ref="I95" si="579">H95/H94-1</f>
        <v>-5.1324853475556154E-3</v>
      </c>
      <c r="J95" s="258">
        <v>53.270077000000001</v>
      </c>
      <c r="K95" s="27">
        <f t="shared" ref="K95" si="580">J95/J94-1</f>
        <v>1.9390228729352366E-3</v>
      </c>
      <c r="L95" s="258">
        <v>24.893401999999998</v>
      </c>
      <c r="M95" s="27">
        <f t="shared" ref="M95" si="581">L95/L94-1</f>
        <v>-5.3857313512028271E-2</v>
      </c>
      <c r="N95" s="258">
        <v>29.449660999999999</v>
      </c>
      <c r="O95" s="27">
        <f t="shared" ref="O95" si="582">N95/N94-1</f>
        <v>-7.2961478634963051E-2</v>
      </c>
      <c r="P95" s="258">
        <v>45.489193</v>
      </c>
      <c r="Q95" s="27">
        <f t="shared" ref="Q95" si="583">P95/P94-1</f>
        <v>-1.0268305813851186E-2</v>
      </c>
      <c r="R95" s="258">
        <v>64.739998</v>
      </c>
      <c r="S95" s="27">
        <f t="shared" ref="S95" si="584">R95/R94-1</f>
        <v>0.10780285947643486</v>
      </c>
      <c r="T95" s="259">
        <v>2803.6899410000001</v>
      </c>
      <c r="U95" s="27">
        <f t="shared" ref="U95" si="585">T95/T94-1</f>
        <v>3.9460513801459207E-3</v>
      </c>
    </row>
    <row r="96" spans="1:21" x14ac:dyDescent="0.2">
      <c r="A96" s="223">
        <v>43528</v>
      </c>
      <c r="B96" s="1">
        <v>110.403519</v>
      </c>
      <c r="C96" s="27">
        <f t="shared" si="513"/>
        <v>-1.343164428738719E-4</v>
      </c>
      <c r="D96" s="258">
        <v>42.354221000000003</v>
      </c>
      <c r="E96" s="27">
        <f t="shared" si="513"/>
        <v>-1.1899671642774279E-2</v>
      </c>
      <c r="F96" s="258">
        <v>34.128517000000002</v>
      </c>
      <c r="G96" s="27">
        <f t="shared" ref="G96" si="586">F96/F95-1</f>
        <v>-9.078317136881231E-3</v>
      </c>
      <c r="H96" s="258">
        <v>21.584568000000001</v>
      </c>
      <c r="I96" s="27">
        <f t="shared" ref="I96" si="587">H96/H95-1</f>
        <v>-3.3964016554119736E-2</v>
      </c>
      <c r="J96" s="258">
        <v>51.133282000000001</v>
      </c>
      <c r="K96" s="27">
        <f t="shared" ref="K96" si="588">J96/J95-1</f>
        <v>-4.0112481909872155E-2</v>
      </c>
      <c r="L96" s="258">
        <v>25.276378999999999</v>
      </c>
      <c r="M96" s="27">
        <f t="shared" ref="M96" si="589">L96/L95-1</f>
        <v>1.5384679040655103E-2</v>
      </c>
      <c r="N96" s="258">
        <v>29.176978999999999</v>
      </c>
      <c r="O96" s="27">
        <f t="shared" ref="O96" si="590">N96/N95-1</f>
        <v>-9.259257687210698E-3</v>
      </c>
      <c r="P96" s="258">
        <v>44.863154999999999</v>
      </c>
      <c r="Q96" s="27">
        <f t="shared" ref="Q96" si="591">P96/P95-1</f>
        <v>-1.3762345707034274E-2</v>
      </c>
      <c r="R96" s="258">
        <v>60.610000999999997</v>
      </c>
      <c r="S96" s="27">
        <f t="shared" ref="S96" si="592">R96/R95-1</f>
        <v>-6.3793591714352615E-2</v>
      </c>
      <c r="T96" s="259">
        <v>2743.070068</v>
      </c>
      <c r="U96" s="27">
        <f t="shared" ref="U96" si="593">T96/T95-1</f>
        <v>-2.162146110150065E-2</v>
      </c>
    </row>
    <row r="97" spans="1:21" x14ac:dyDescent="0.2">
      <c r="A97" s="223">
        <v>43535</v>
      </c>
      <c r="B97" s="1">
        <v>110.815506</v>
      </c>
      <c r="C97" s="27">
        <f t="shared" si="513"/>
        <v>3.7316473580881748E-3</v>
      </c>
      <c r="D97" s="258">
        <v>42.788727000000002</v>
      </c>
      <c r="E97" s="27">
        <f t="shared" si="513"/>
        <v>1.025885944165994E-2</v>
      </c>
      <c r="F97" s="258">
        <v>34.119041000000003</v>
      </c>
      <c r="G97" s="27">
        <f t="shared" ref="G97" si="594">F97/F96-1</f>
        <v>-2.7765636578935826E-4</v>
      </c>
      <c r="H97" s="258">
        <v>22.180140000000002</v>
      </c>
      <c r="I97" s="27">
        <f t="shared" ref="I97" si="595">H97/H96-1</f>
        <v>2.7592491079738046E-2</v>
      </c>
      <c r="J97" s="258">
        <v>51.367576999999997</v>
      </c>
      <c r="K97" s="27">
        <f t="shared" ref="K97" si="596">J97/J96-1</f>
        <v>4.5820450171767391E-3</v>
      </c>
      <c r="L97" s="258">
        <v>26.501899999999999</v>
      </c>
      <c r="M97" s="27">
        <f t="shared" ref="M97" si="597">L97/L96-1</f>
        <v>4.8484832420023549E-2</v>
      </c>
      <c r="N97" s="258">
        <v>29.527321000000001</v>
      </c>
      <c r="O97" s="27">
        <f t="shared" ref="O97" si="598">N97/N96-1</f>
        <v>1.2007480280943561E-2</v>
      </c>
      <c r="P97" s="258">
        <v>46.038184999999999</v>
      </c>
      <c r="Q97" s="27">
        <f t="shared" ref="Q97" si="599">P97/P96-1</f>
        <v>2.6191425903951737E-2</v>
      </c>
      <c r="R97" s="258">
        <v>60.27</v>
      </c>
      <c r="S97" s="27">
        <f t="shared" ref="S97" si="600">R97/R96-1</f>
        <v>-5.6096517800748869E-3</v>
      </c>
      <c r="T97" s="259">
        <v>2822.4799800000001</v>
      </c>
      <c r="U97" s="27">
        <f t="shared" ref="U97" si="601">T97/T96-1</f>
        <v>2.8949283113974156E-2</v>
      </c>
    </row>
    <row r="98" spans="1:21" x14ac:dyDescent="0.2">
      <c r="A98" s="223">
        <v>43542</v>
      </c>
      <c r="B98" s="1">
        <v>115.663574</v>
      </c>
      <c r="C98" s="27">
        <f t="shared" si="513"/>
        <v>4.3749003862329605E-2</v>
      </c>
      <c r="D98" s="258">
        <v>43.762531000000003</v>
      </c>
      <c r="E98" s="27">
        <f t="shared" si="513"/>
        <v>2.2758424198971783E-2</v>
      </c>
      <c r="F98" s="258">
        <v>36.231945000000003</v>
      </c>
      <c r="G98" s="27">
        <f t="shared" ref="G98" si="602">F98/F97-1</f>
        <v>6.1927414665611469E-2</v>
      </c>
      <c r="H98" s="258">
        <v>25.407737999999998</v>
      </c>
      <c r="I98" s="27">
        <f t="shared" ref="I98" si="603">H98/H97-1</f>
        <v>0.14551747644514412</v>
      </c>
      <c r="J98" s="258">
        <v>53.705482000000003</v>
      </c>
      <c r="K98" s="27">
        <f t="shared" ref="K98" si="604">J98/J97-1</f>
        <v>4.5513242721181957E-2</v>
      </c>
      <c r="L98" s="258">
        <v>26.530621</v>
      </c>
      <c r="M98" s="27">
        <f t="shared" ref="M98" si="605">L98/L97-1</f>
        <v>1.0837336190989699E-3</v>
      </c>
      <c r="N98" s="258">
        <v>29.711351000000001</v>
      </c>
      <c r="O98" s="27">
        <f t="shared" ref="O98" si="606">N98/N97-1</f>
        <v>6.2325329141779129E-3</v>
      </c>
      <c r="P98" s="258">
        <v>47.319159999999997</v>
      </c>
      <c r="Q98" s="27">
        <f t="shared" ref="Q98" si="607">P98/P97-1</f>
        <v>2.7824185510354038E-2</v>
      </c>
      <c r="R98" s="258">
        <v>53.509998000000003</v>
      </c>
      <c r="S98" s="27">
        <f t="shared" ref="S98" si="608">R98/R97-1</f>
        <v>-0.11216197112991533</v>
      </c>
      <c r="T98" s="259">
        <v>2800.709961</v>
      </c>
      <c r="U98" s="27">
        <f t="shared" ref="U98" si="609">T98/T97-1</f>
        <v>-7.713081812541378E-3</v>
      </c>
    </row>
    <row r="99" spans="1:21" x14ac:dyDescent="0.2">
      <c r="A99" s="223">
        <v>43549</v>
      </c>
      <c r="B99" s="1">
        <v>117.41690800000001</v>
      </c>
      <c r="C99" s="27">
        <f t="shared" si="513"/>
        <v>1.5158912519857015E-2</v>
      </c>
      <c r="D99" s="258">
        <v>44.648643</v>
      </c>
      <c r="E99" s="27">
        <f t="shared" si="513"/>
        <v>2.0248189027275432E-2</v>
      </c>
      <c r="F99" s="258">
        <v>36.127719999999997</v>
      </c>
      <c r="G99" s="27">
        <f t="shared" ref="G99" si="610">F99/F98-1</f>
        <v>-2.8766051615503052E-3</v>
      </c>
      <c r="H99" s="258">
        <v>26.646906000000001</v>
      </c>
      <c r="I99" s="27">
        <f t="shared" ref="I99" si="611">H99/H98-1</f>
        <v>4.8771283771896767E-2</v>
      </c>
      <c r="J99" s="258">
        <v>54.311253000000001</v>
      </c>
      <c r="K99" s="27">
        <f t="shared" ref="K99" si="612">J99/J98-1</f>
        <v>1.1279500293843281E-2</v>
      </c>
      <c r="L99" s="258">
        <v>26.779554000000001</v>
      </c>
      <c r="M99" s="27">
        <f t="shared" ref="M99" si="613">L99/L98-1</f>
        <v>9.382856134426687E-3</v>
      </c>
      <c r="N99" s="258">
        <v>30.042603</v>
      </c>
      <c r="O99" s="27">
        <f t="shared" ref="O99" si="614">N99/N98-1</f>
        <v>1.1149004971197751E-2</v>
      </c>
      <c r="P99" s="258">
        <v>48.080044000000001</v>
      </c>
      <c r="Q99" s="27">
        <f t="shared" ref="Q99" si="615">P99/P98-1</f>
        <v>1.6079828974140842E-2</v>
      </c>
      <c r="R99" s="258">
        <v>54.580002</v>
      </c>
      <c r="S99" s="27">
        <f t="shared" ref="S99" si="616">R99/R98-1</f>
        <v>1.9996337880632931E-2</v>
      </c>
      <c r="T99" s="259">
        <v>2834.3999020000001</v>
      </c>
      <c r="U99" s="27">
        <f t="shared" ref="U99" si="617">T99/T98-1</f>
        <v>1.2029071724360518E-2</v>
      </c>
    </row>
    <row r="100" spans="1:21" x14ac:dyDescent="0.2">
      <c r="A100" s="223">
        <v>43556</v>
      </c>
      <c r="B100" s="1">
        <v>116.525856</v>
      </c>
      <c r="C100" s="27">
        <f t="shared" si="513"/>
        <v>-7.5887878089925254E-3</v>
      </c>
      <c r="D100" s="258">
        <v>44.277042000000002</v>
      </c>
      <c r="E100" s="27">
        <f t="shared" si="513"/>
        <v>-8.3227837405942529E-3</v>
      </c>
      <c r="F100" s="258">
        <v>36.250884999999997</v>
      </c>
      <c r="G100" s="27">
        <f t="shared" ref="G100" si="618">F100/F99-1</f>
        <v>3.4091550753825306E-3</v>
      </c>
      <c r="H100" s="258">
        <v>27.175238</v>
      </c>
      <c r="I100" s="27">
        <f t="shared" ref="I100" si="619">H100/H99-1</f>
        <v>1.9827142408203047E-2</v>
      </c>
      <c r="J100" s="258">
        <v>53.762264000000002</v>
      </c>
      <c r="K100" s="27">
        <f t="shared" ref="K100" si="620">J100/J99-1</f>
        <v>-1.0108199860533462E-2</v>
      </c>
      <c r="L100" s="258">
        <v>26.147648</v>
      </c>
      <c r="M100" s="27">
        <f t="shared" ref="M100" si="621">L100/L99-1</f>
        <v>-2.3596584170147095E-2</v>
      </c>
      <c r="N100" s="258">
        <v>30.521070000000002</v>
      </c>
      <c r="O100" s="27">
        <f t="shared" ref="O100" si="622">N100/N99-1</f>
        <v>1.5926283085390569E-2</v>
      </c>
      <c r="P100" s="258">
        <v>48.100879999999997</v>
      </c>
      <c r="Q100" s="27">
        <f t="shared" ref="Q100" si="623">P100/P99-1</f>
        <v>4.3336066830534925E-4</v>
      </c>
      <c r="R100" s="258">
        <v>52.880001</v>
      </c>
      <c r="S100" s="27">
        <f t="shared" ref="S100" si="624">R100/R99-1</f>
        <v>-3.1146957451558932E-2</v>
      </c>
      <c r="T100" s="259">
        <v>2892.73999</v>
      </c>
      <c r="U100" s="27">
        <f t="shared" ref="U100" si="625">T100/T99-1</f>
        <v>2.058287116042945E-2</v>
      </c>
    </row>
    <row r="101" spans="1:21" x14ac:dyDescent="0.2">
      <c r="A101" s="223">
        <v>43563</v>
      </c>
      <c r="B101" s="1">
        <v>117.110321</v>
      </c>
      <c r="C101" s="27">
        <f t="shared" si="513"/>
        <v>5.015753756831387E-3</v>
      </c>
      <c r="D101" s="258">
        <v>44.534306000000001</v>
      </c>
      <c r="E101" s="27">
        <f t="shared" si="513"/>
        <v>5.8103249083349962E-3</v>
      </c>
      <c r="F101" s="258">
        <v>37.719493999999997</v>
      </c>
      <c r="G101" s="27">
        <f t="shared" ref="G101" si="626">F101/F100-1</f>
        <v>4.0512362663697843E-2</v>
      </c>
      <c r="H101" s="258">
        <v>28.577701999999999</v>
      </c>
      <c r="I101" s="27">
        <f t="shared" ref="I101" si="627">H101/H100-1</f>
        <v>5.1608158868746479E-2</v>
      </c>
      <c r="J101" s="258">
        <v>54.491089000000002</v>
      </c>
      <c r="K101" s="27">
        <f t="shared" ref="K101" si="628">J101/J100-1</f>
        <v>1.35564417450873E-2</v>
      </c>
      <c r="L101" s="258">
        <v>25.520395000000001</v>
      </c>
      <c r="M101" s="27">
        <f t="shared" ref="M101" si="629">L101/L100-1</f>
        <v>-2.3988888025416322E-2</v>
      </c>
      <c r="N101" s="258">
        <v>30.42906</v>
      </c>
      <c r="O101" s="27">
        <f t="shared" ref="O101" si="630">N101/N100-1</f>
        <v>-3.0146387397297358E-3</v>
      </c>
      <c r="P101" s="258">
        <v>48.207377999999999</v>
      </c>
      <c r="Q101" s="27">
        <f t="shared" ref="Q101" si="631">P101/P100-1</f>
        <v>2.2140551274738574E-3</v>
      </c>
      <c r="R101" s="258">
        <v>53.02</v>
      </c>
      <c r="S101" s="27">
        <f t="shared" ref="S101" si="632">R101/R100-1</f>
        <v>2.6474848213411395E-3</v>
      </c>
      <c r="T101" s="259">
        <v>2907.4099120000001</v>
      </c>
      <c r="U101" s="27">
        <f t="shared" ref="U101" si="633">T101/T100-1</f>
        <v>5.0712895215998532E-3</v>
      </c>
    </row>
    <row r="102" spans="1:21" x14ac:dyDescent="0.2">
      <c r="A102" s="223">
        <v>43570</v>
      </c>
      <c r="B102" s="1">
        <v>121.766747</v>
      </c>
      <c r="C102" s="27">
        <f t="shared" si="513"/>
        <v>3.9761021575545064E-2</v>
      </c>
      <c r="D102" s="258">
        <v>45.239379999999997</v>
      </c>
      <c r="E102" s="27">
        <f t="shared" si="513"/>
        <v>1.5832154204895366E-2</v>
      </c>
      <c r="F102" s="258">
        <v>37.655284999999999</v>
      </c>
      <c r="G102" s="27">
        <f t="shared" ref="G102" si="634">F102/F101-1</f>
        <v>-1.7022762818610371E-3</v>
      </c>
      <c r="H102" s="258">
        <v>29.317361999999999</v>
      </c>
      <c r="I102" s="27">
        <f t="shared" ref="I102" si="635">H102/H101-1</f>
        <v>2.5882416997699886E-2</v>
      </c>
      <c r="J102" s="258">
        <v>55.324024000000001</v>
      </c>
      <c r="K102" s="27">
        <f t="shared" ref="K102" si="636">J102/J101-1</f>
        <v>1.5285710292925136E-2</v>
      </c>
      <c r="L102" s="258">
        <v>25.616662999999999</v>
      </c>
      <c r="M102" s="27">
        <f t="shared" ref="M102" si="637">L102/L101-1</f>
        <v>3.7721986669876362E-3</v>
      </c>
      <c r="N102" s="258">
        <v>30.327843000000001</v>
      </c>
      <c r="O102" s="27">
        <f t="shared" ref="O102" si="638">N102/N101-1</f>
        <v>-3.326326873061447E-3</v>
      </c>
      <c r="P102" s="258">
        <v>48.497849000000002</v>
      </c>
      <c r="Q102" s="27">
        <f t="shared" ref="Q102" si="639">P102/P101-1</f>
        <v>6.025446976186899E-3</v>
      </c>
      <c r="R102" s="258">
        <v>55.200001</v>
      </c>
      <c r="S102" s="27">
        <f t="shared" ref="S102" si="640">R102/R101-1</f>
        <v>4.1116578649566193E-2</v>
      </c>
      <c r="T102" s="259">
        <v>2905.030029</v>
      </c>
      <c r="U102" s="27">
        <f t="shared" ref="U102" si="641">T102/T101-1</f>
        <v>-8.1855777892803072E-4</v>
      </c>
    </row>
    <row r="103" spans="1:21" x14ac:dyDescent="0.2">
      <c r="A103" s="223">
        <v>43577</v>
      </c>
      <c r="B103" s="1">
        <v>121.10565200000001</v>
      </c>
      <c r="C103" s="27">
        <f t="shared" si="513"/>
        <v>-5.4291916002321416E-3</v>
      </c>
      <c r="D103" s="258">
        <v>45.982571</v>
      </c>
      <c r="E103" s="27">
        <f t="shared" si="513"/>
        <v>1.6427966077342315E-2</v>
      </c>
      <c r="F103" s="258">
        <v>36.938319999999997</v>
      </c>
      <c r="G103" s="27">
        <f t="shared" ref="G103" si="642">F103/F102-1</f>
        <v>-1.9040222375159344E-2</v>
      </c>
      <c r="H103" s="258">
        <v>29.768839</v>
      </c>
      <c r="I103" s="27">
        <f t="shared" ref="I103" si="643">H103/H102-1</f>
        <v>1.5399646120957344E-2</v>
      </c>
      <c r="J103" s="258">
        <v>56.223221000000002</v>
      </c>
      <c r="K103" s="27">
        <f t="shared" ref="K103" si="644">J103/J102-1</f>
        <v>1.6253282660711799E-2</v>
      </c>
      <c r="L103" s="258">
        <v>27.464987000000001</v>
      </c>
      <c r="M103" s="27">
        <f t="shared" ref="M103" si="645">L103/L102-1</f>
        <v>7.2153191850164111E-2</v>
      </c>
      <c r="N103" s="258">
        <v>30.419857</v>
      </c>
      <c r="O103" s="27">
        <f t="shared" ref="O103" si="646">N103/N102-1</f>
        <v>3.0339777213961305E-3</v>
      </c>
      <c r="P103" s="258">
        <v>48.691490000000002</v>
      </c>
      <c r="Q103" s="27">
        <f t="shared" ref="Q103" si="647">P103/P102-1</f>
        <v>3.9927750197745748E-3</v>
      </c>
      <c r="R103" s="258">
        <v>59.650002000000001</v>
      </c>
      <c r="S103" s="27">
        <f t="shared" ref="S103" si="648">R103/R102-1</f>
        <v>8.0615958684493449E-2</v>
      </c>
      <c r="T103" s="259">
        <v>2939.8798830000001</v>
      </c>
      <c r="U103" s="27">
        <f t="shared" ref="U103" si="649">T103/T102-1</f>
        <v>1.1996383394355714E-2</v>
      </c>
    </row>
    <row r="104" spans="1:21" x14ac:dyDescent="0.2">
      <c r="A104" s="223">
        <v>43584</v>
      </c>
      <c r="B104" s="1">
        <v>122.322456</v>
      </c>
      <c r="C104" s="27">
        <f t="shared" si="513"/>
        <v>1.004745839607879E-2</v>
      </c>
      <c r="D104" s="258">
        <v>46.420867999999999</v>
      </c>
      <c r="E104" s="27">
        <f t="shared" si="513"/>
        <v>9.5318071710257524E-3</v>
      </c>
      <c r="F104" s="258">
        <v>36.584614000000002</v>
      </c>
      <c r="G104" s="27">
        <f t="shared" ref="G104" si="650">F104/F103-1</f>
        <v>-9.5755843795818363E-3</v>
      </c>
      <c r="H104" s="258">
        <v>28.827459000000001</v>
      </c>
      <c r="I104" s="27">
        <f t="shared" ref="I104" si="651">H104/H103-1</f>
        <v>-3.1623000144547109E-2</v>
      </c>
      <c r="J104" s="258">
        <v>53.449921000000003</v>
      </c>
      <c r="K104" s="27">
        <f t="shared" ref="K104" si="652">J104/J103-1</f>
        <v>-4.9326594077560904E-2</v>
      </c>
      <c r="L104" s="258">
        <v>27.965578000000001</v>
      </c>
      <c r="M104" s="27">
        <f t="shared" ref="M104" si="653">L104/L103-1</f>
        <v>1.822651508992168E-2</v>
      </c>
      <c r="N104" s="258">
        <v>29.978193000000001</v>
      </c>
      <c r="O104" s="27">
        <f t="shared" ref="O104" si="654">N104/N103-1</f>
        <v>-1.4518937416438171E-2</v>
      </c>
      <c r="P104" s="258">
        <v>50.114761000000001</v>
      </c>
      <c r="Q104" s="27">
        <f t="shared" ref="Q104" si="655">P104/P103-1</f>
        <v>2.9230385022105398E-2</v>
      </c>
      <c r="R104" s="258">
        <v>63.110000999999997</v>
      </c>
      <c r="S104" s="27">
        <f t="shared" ref="S104" si="656">R104/R103-1</f>
        <v>5.8005010628499054E-2</v>
      </c>
      <c r="T104" s="259">
        <v>2945.639893</v>
      </c>
      <c r="U104" s="27">
        <f t="shared" ref="U104" si="657">T104/T103-1</f>
        <v>1.9592671228874092E-3</v>
      </c>
    </row>
    <row r="105" spans="1:21" x14ac:dyDescent="0.2">
      <c r="A105" s="223">
        <v>43591</v>
      </c>
      <c r="B105" s="1">
        <v>122.64820899999999</v>
      </c>
      <c r="C105" s="27">
        <f t="shared" si="513"/>
        <v>2.66306785076309E-3</v>
      </c>
      <c r="D105" s="258">
        <v>45.915874000000002</v>
      </c>
      <c r="E105" s="27">
        <f t="shared" si="513"/>
        <v>-1.087859882327058E-2</v>
      </c>
      <c r="F105" s="258">
        <v>37.033915999999998</v>
      </c>
      <c r="G105" s="27">
        <f t="shared" ref="G105" si="658">F105/F104-1</f>
        <v>1.2281173719640659E-2</v>
      </c>
      <c r="H105" s="258">
        <v>27.778769</v>
      </c>
      <c r="I105" s="27">
        <f t="shared" ref="I105" si="659">H105/H104-1</f>
        <v>-3.6378162917515611E-2</v>
      </c>
      <c r="J105" s="258">
        <v>55.503864</v>
      </c>
      <c r="K105" s="27">
        <f t="shared" ref="K105" si="660">J105/J104-1</f>
        <v>3.8427428171502687E-2</v>
      </c>
      <c r="L105" s="258">
        <v>28.312135999999999</v>
      </c>
      <c r="M105" s="27">
        <f t="shared" ref="M105" si="661">L105/L104-1</f>
        <v>1.2392305998466968E-2</v>
      </c>
      <c r="N105" s="258">
        <v>30.042603</v>
      </c>
      <c r="O105" s="27">
        <f t="shared" ref="O105" si="662">N105/N104-1</f>
        <v>2.1485617895646847E-3</v>
      </c>
      <c r="P105" s="258">
        <v>50.221274999999999</v>
      </c>
      <c r="Q105" s="27">
        <f t="shared" ref="Q105" si="663">P105/P104-1</f>
        <v>2.1254017354288557E-3</v>
      </c>
      <c r="R105" s="258">
        <v>63</v>
      </c>
      <c r="S105" s="27">
        <f t="shared" ref="S105" si="664">R105/R104-1</f>
        <v>-1.7430042506257903E-3</v>
      </c>
      <c r="T105" s="259">
        <v>2881.3999020000001</v>
      </c>
      <c r="U105" s="27">
        <f t="shared" ref="U105" si="665">T105/T104-1</f>
        <v>-2.1808501152044912E-2</v>
      </c>
    </row>
    <row r="106" spans="1:21" x14ac:dyDescent="0.2">
      <c r="A106" s="223">
        <v>43598</v>
      </c>
      <c r="B106" s="1">
        <v>125.04349499999999</v>
      </c>
      <c r="C106" s="27">
        <f t="shared" si="513"/>
        <v>1.9529726683575221E-2</v>
      </c>
      <c r="D106" s="258">
        <v>46.878216000000002</v>
      </c>
      <c r="E106" s="27">
        <f t="shared" si="513"/>
        <v>2.0958808276196672E-2</v>
      </c>
      <c r="F106" s="258">
        <v>37.406737999999997</v>
      </c>
      <c r="G106" s="27">
        <f t="shared" ref="G106" si="666">F106/F105-1</f>
        <v>1.0067042329523046E-2</v>
      </c>
      <c r="H106" s="258">
        <v>28.126971999999999</v>
      </c>
      <c r="I106" s="27">
        <f t="shared" ref="I106" si="667">H106/H105-1</f>
        <v>1.2534860706030493E-2</v>
      </c>
      <c r="J106" s="258">
        <v>53.970500999999999</v>
      </c>
      <c r="K106" s="27">
        <f t="shared" ref="K106" si="668">J106/J105-1</f>
        <v>-2.7626238778619139E-2</v>
      </c>
      <c r="L106" s="258">
        <v>28.167739999999998</v>
      </c>
      <c r="M106" s="27">
        <f t="shared" ref="M106" si="669">L106/L105-1</f>
        <v>-5.100145040275339E-3</v>
      </c>
      <c r="N106" s="258">
        <v>29.932182000000001</v>
      </c>
      <c r="O106" s="27">
        <f t="shared" ref="O106" si="670">N106/N105-1</f>
        <v>-3.6754804502125982E-3</v>
      </c>
      <c r="P106" s="258">
        <v>50.569823999999997</v>
      </c>
      <c r="Q106" s="27">
        <f t="shared" ref="Q106" si="671">P106/P105-1</f>
        <v>6.9402658534654105E-3</v>
      </c>
      <c r="R106" s="258">
        <v>63.630001</v>
      </c>
      <c r="S106" s="27">
        <f t="shared" ref="S106" si="672">R106/R105-1</f>
        <v>1.00000158730158E-2</v>
      </c>
      <c r="T106" s="259">
        <v>2859.530029</v>
      </c>
      <c r="U106" s="27">
        <f t="shared" ref="U106" si="673">T106/T105-1</f>
        <v>-7.5900165696611843E-3</v>
      </c>
    </row>
    <row r="107" spans="1:21" x14ac:dyDescent="0.2">
      <c r="A107" s="223">
        <v>43605</v>
      </c>
      <c r="B107" s="1">
        <v>124.075806</v>
      </c>
      <c r="C107" s="27">
        <f t="shared" si="513"/>
        <v>-7.7388192004709255E-3</v>
      </c>
      <c r="D107" s="258">
        <v>47.268867</v>
      </c>
      <c r="E107" s="27">
        <f t="shared" si="513"/>
        <v>8.3333162678373984E-3</v>
      </c>
      <c r="F107" s="258">
        <v>35.877197000000002</v>
      </c>
      <c r="G107" s="27">
        <f t="shared" ref="G107" si="674">F107/F106-1</f>
        <v>-4.0889451520739306E-2</v>
      </c>
      <c r="H107" s="258">
        <v>27.885166000000002</v>
      </c>
      <c r="I107" s="27">
        <f t="shared" ref="I107" si="675">H107/H106-1</f>
        <v>-8.5969438871698056E-3</v>
      </c>
      <c r="J107" s="258">
        <v>53.535102999999999</v>
      </c>
      <c r="K107" s="27">
        <f t="shared" ref="K107" si="676">J107/J106-1</f>
        <v>-8.0673329306318875E-3</v>
      </c>
      <c r="L107" s="258">
        <v>28.119603999999999</v>
      </c>
      <c r="M107" s="27">
        <f t="shared" ref="M107" si="677">L107/L106-1</f>
        <v>-1.7089052937864224E-3</v>
      </c>
      <c r="N107" s="258">
        <v>28.625584</v>
      </c>
      <c r="O107" s="27">
        <f t="shared" ref="O107" si="678">N107/N106-1</f>
        <v>-4.3651946256373808E-2</v>
      </c>
      <c r="P107" s="258">
        <v>50.473007000000003</v>
      </c>
      <c r="Q107" s="27">
        <f t="shared" ref="Q107" si="679">P107/P106-1</f>
        <v>-1.9145211974633813E-3</v>
      </c>
      <c r="R107" s="258">
        <v>63.419998</v>
      </c>
      <c r="S107" s="27">
        <f t="shared" ref="S107" si="680">R107/R106-1</f>
        <v>-3.3003771287068995E-3</v>
      </c>
      <c r="T107" s="259">
        <v>2826.0600589999999</v>
      </c>
      <c r="U107" s="27">
        <f t="shared" ref="U107" si="681">T107/T106-1</f>
        <v>-1.1704710095912119E-2</v>
      </c>
    </row>
    <row r="108" spans="1:21" x14ac:dyDescent="0.2">
      <c r="A108" s="223">
        <v>43612</v>
      </c>
      <c r="B108" s="1">
        <v>122.63864100000001</v>
      </c>
      <c r="C108" s="27">
        <f t="shared" si="513"/>
        <v>-1.1582959211242194E-2</v>
      </c>
      <c r="D108" s="258">
        <v>46.811520000000002</v>
      </c>
      <c r="E108" s="27">
        <f t="shared" si="513"/>
        <v>-9.6754381694826863E-3</v>
      </c>
      <c r="F108" s="258">
        <v>34.710929999999998</v>
      </c>
      <c r="G108" s="27">
        <f t="shared" ref="G108" si="682">F108/F107-1</f>
        <v>-3.2507193914842469E-2</v>
      </c>
      <c r="H108" s="258">
        <v>25.892679000000001</v>
      </c>
      <c r="I108" s="27">
        <f t="shared" ref="I108" si="683">H108/H107-1</f>
        <v>-7.1453295275344608E-2</v>
      </c>
      <c r="J108" s="258">
        <v>49.749026999999998</v>
      </c>
      <c r="K108" s="27">
        <f t="shared" ref="K108" si="684">J108/J107-1</f>
        <v>-7.0721373226834028E-2</v>
      </c>
      <c r="L108" s="258">
        <v>27.137682000000002</v>
      </c>
      <c r="M108" s="27">
        <f t="shared" ref="M108" si="685">L108/L107-1</f>
        <v>-3.4919481796400698E-2</v>
      </c>
      <c r="N108" s="258">
        <v>25.441896</v>
      </c>
      <c r="O108" s="27">
        <f t="shared" ref="O108" si="686">N108/N107-1</f>
        <v>-0.11121827243769067</v>
      </c>
      <c r="P108" s="258">
        <v>49.233688000000001</v>
      </c>
      <c r="Q108" s="27">
        <f t="shared" ref="Q108" si="687">P108/P107-1</f>
        <v>-2.4554094825378625E-2</v>
      </c>
      <c r="R108" s="258">
        <v>61.860000999999997</v>
      </c>
      <c r="S108" s="27">
        <f t="shared" ref="S108" si="688">R108/R107-1</f>
        <v>-2.4597872109677454E-2</v>
      </c>
      <c r="T108" s="259">
        <v>2752.0600589999999</v>
      </c>
      <c r="U108" s="27">
        <f t="shared" ref="U108" si="689">T108/T107-1</f>
        <v>-2.6184864601279889E-2</v>
      </c>
    </row>
    <row r="109" spans="1:21" x14ac:dyDescent="0.2">
      <c r="A109" s="223">
        <v>43619</v>
      </c>
      <c r="B109" s="1">
        <v>127.87949399999999</v>
      </c>
      <c r="C109" s="27">
        <f t="shared" si="513"/>
        <v>4.2734108575126717E-2</v>
      </c>
      <c r="D109" s="258">
        <v>49.06015</v>
      </c>
      <c r="E109" s="27">
        <f t="shared" si="513"/>
        <v>4.8035825369481699E-2</v>
      </c>
      <c r="F109" s="258">
        <v>41.182785000000003</v>
      </c>
      <c r="G109" s="27">
        <f t="shared" ref="G109" si="690">F109/F108-1</f>
        <v>0.1864500605428896</v>
      </c>
      <c r="H109" s="258">
        <v>28.658947000000001</v>
      </c>
      <c r="I109" s="27">
        <f t="shared" ref="I109" si="691">H109/H108-1</f>
        <v>0.1068359129621157</v>
      </c>
      <c r="J109" s="258">
        <v>53.571517999999998</v>
      </c>
      <c r="K109" s="27">
        <f t="shared" ref="K109" si="692">J109/J108-1</f>
        <v>7.6835492682097994E-2</v>
      </c>
      <c r="L109" s="258">
        <v>27.282081999999999</v>
      </c>
      <c r="M109" s="27">
        <f t="shared" ref="M109" si="693">L109/L108-1</f>
        <v>5.3210145214317439E-3</v>
      </c>
      <c r="N109" s="258">
        <v>26.818892999999999</v>
      </c>
      <c r="O109" s="27">
        <f t="shared" ref="O109" si="694">N109/N108-1</f>
        <v>5.4123206855338113E-2</v>
      </c>
      <c r="P109" s="258">
        <v>52.302933000000003</v>
      </c>
      <c r="Q109" s="27">
        <f t="shared" ref="Q109" si="695">P109/P108-1</f>
        <v>6.2340343059410941E-2</v>
      </c>
      <c r="R109" s="258">
        <v>65.919998000000007</v>
      </c>
      <c r="S109" s="27">
        <f t="shared" ref="S109" si="696">R109/R108-1</f>
        <v>6.563202286401526E-2</v>
      </c>
      <c r="T109" s="259">
        <v>2873.3400879999999</v>
      </c>
      <c r="U109" s="27">
        <f t="shared" ref="U109" si="697">T109/T108-1</f>
        <v>4.4068816232182284E-2</v>
      </c>
    </row>
    <row r="110" spans="1:21" x14ac:dyDescent="0.2">
      <c r="A110" s="223">
        <v>43626</v>
      </c>
      <c r="B110" s="1">
        <v>128.10159300000001</v>
      </c>
      <c r="C110" s="27">
        <f t="shared" si="513"/>
        <v>1.7367835377892771E-3</v>
      </c>
      <c r="D110" s="258">
        <v>48.888644999999997</v>
      </c>
      <c r="E110" s="27">
        <f t="shared" si="513"/>
        <v>-3.4958107547572448E-3</v>
      </c>
      <c r="F110" s="258">
        <v>40.398890999999999</v>
      </c>
      <c r="G110" s="27">
        <f t="shared" ref="G110" si="698">F110/F109-1</f>
        <v>-1.9034506772672266E-2</v>
      </c>
      <c r="H110" s="258">
        <v>28.900753000000002</v>
      </c>
      <c r="I110" s="27">
        <f t="shared" ref="I110" si="699">H110/H109-1</f>
        <v>8.4373651271973937E-3</v>
      </c>
      <c r="J110" s="258">
        <v>54.183872000000001</v>
      </c>
      <c r="K110" s="27">
        <f t="shared" ref="K110" si="700">J110/J109-1</f>
        <v>1.1430588918536877E-2</v>
      </c>
      <c r="L110" s="258">
        <v>27.561256</v>
      </c>
      <c r="M110" s="27">
        <f t="shared" ref="M110" si="701">L110/L109-1</f>
        <v>1.0232870057351295E-2</v>
      </c>
      <c r="N110" s="258">
        <v>28.283947000000001</v>
      </c>
      <c r="O110" s="27">
        <f t="shared" ref="O110" si="702">N110/N109-1</f>
        <v>5.4627683551293549E-2</v>
      </c>
      <c r="P110" s="258">
        <v>53.300190000000001</v>
      </c>
      <c r="Q110" s="27">
        <f t="shared" ref="Q110" si="703">P110/P109-1</f>
        <v>1.9066942192323966E-2</v>
      </c>
      <c r="R110" s="258">
        <v>61.330002</v>
      </c>
      <c r="S110" s="27">
        <f t="shared" ref="S110" si="704">R110/R109-1</f>
        <v>-6.9629795801875005E-2</v>
      </c>
      <c r="T110" s="259">
        <v>2886.9799800000001</v>
      </c>
      <c r="U110" s="27">
        <f t="shared" ref="U110" si="705">T110/T109-1</f>
        <v>4.7470510215497086E-3</v>
      </c>
    </row>
    <row r="111" spans="1:21" x14ac:dyDescent="0.2">
      <c r="A111" s="223">
        <v>43633</v>
      </c>
      <c r="B111" s="1">
        <v>129.28872699999999</v>
      </c>
      <c r="C111" s="27">
        <f t="shared" si="513"/>
        <v>9.267129098074367E-3</v>
      </c>
      <c r="D111" s="258">
        <v>49.500743999999997</v>
      </c>
      <c r="E111" s="27">
        <f t="shared" si="513"/>
        <v>1.252026927725236E-2</v>
      </c>
      <c r="F111" s="258">
        <v>38.898040999999999</v>
      </c>
      <c r="G111" s="27">
        <f t="shared" ref="G111" si="706">F111/F110-1</f>
        <v>-3.7150772282338096E-2</v>
      </c>
      <c r="H111" s="258">
        <v>27.778769</v>
      </c>
      <c r="I111" s="27">
        <f t="shared" ref="I111" si="707">H111/H110-1</f>
        <v>-3.8821964258163089E-2</v>
      </c>
      <c r="J111" s="258">
        <v>53.188792999999997</v>
      </c>
      <c r="K111" s="27">
        <f t="shared" ref="K111" si="708">J111/J110-1</f>
        <v>-1.8364855874456576E-2</v>
      </c>
      <c r="L111" s="258">
        <v>29.505849999999999</v>
      </c>
      <c r="M111" s="27">
        <f t="shared" ref="M111" si="709">L111/L110-1</f>
        <v>7.0555347695330006E-2</v>
      </c>
      <c r="N111" s="258">
        <v>29.375737999999998</v>
      </c>
      <c r="O111" s="27">
        <f t="shared" ref="O111" si="710">N111/N110-1</f>
        <v>3.8601083505070743E-2</v>
      </c>
      <c r="P111" s="258">
        <v>53.493834999999997</v>
      </c>
      <c r="Q111" s="27">
        <f t="shared" ref="Q111" si="711">P111/P110-1</f>
        <v>3.63310149551066E-3</v>
      </c>
      <c r="R111" s="258">
        <v>63.779998999999997</v>
      </c>
      <c r="S111" s="27">
        <f t="shared" ref="S111" si="712">R111/R110-1</f>
        <v>3.9947773032846134E-2</v>
      </c>
      <c r="T111" s="259">
        <v>2950.459961</v>
      </c>
      <c r="U111" s="27">
        <f t="shared" ref="U111" si="713">T111/T110-1</f>
        <v>2.1988368966798344E-2</v>
      </c>
    </row>
    <row r="112" spans="1:21" x14ac:dyDescent="0.2">
      <c r="A112" s="223">
        <v>43640</v>
      </c>
      <c r="B112" s="1">
        <v>126.557419</v>
      </c>
      <c r="C112" s="27">
        <f t="shared" si="513"/>
        <v>-2.1125646940587495E-2</v>
      </c>
      <c r="D112" s="258">
        <v>48.895789999999998</v>
      </c>
      <c r="E112" s="27">
        <f t="shared" si="513"/>
        <v>-1.2221109242317674E-2</v>
      </c>
      <c r="F112" s="258">
        <v>38.305340000000001</v>
      </c>
      <c r="G112" s="27">
        <f t="shared" ref="G112" si="714">F112/F111-1</f>
        <v>-1.5237296911687626E-2</v>
      </c>
      <c r="H112" s="258">
        <v>25.650870999999999</v>
      </c>
      <c r="I112" s="27">
        <f t="shared" ref="I112" si="715">H112/H111-1</f>
        <v>-7.6601594548700191E-2</v>
      </c>
      <c r="J112" s="258">
        <v>51.256045999999998</v>
      </c>
      <c r="K112" s="27">
        <f t="shared" ref="K112" si="716">J112/J111-1</f>
        <v>-3.6337485605285269E-2</v>
      </c>
      <c r="L112" s="258">
        <v>27.821176999999999</v>
      </c>
      <c r="M112" s="27">
        <f t="shared" ref="M112" si="717">L112/L111-1</f>
        <v>-5.7096236847947068E-2</v>
      </c>
      <c r="N112" s="258">
        <v>28.965154999999999</v>
      </c>
      <c r="O112" s="27">
        <f t="shared" ref="O112" si="718">N112/N111-1</f>
        <v>-1.3976942468645337E-2</v>
      </c>
      <c r="P112" s="258">
        <v>52.186745000000002</v>
      </c>
      <c r="Q112" s="27">
        <f t="shared" ref="Q112" si="719">P112/P111-1</f>
        <v>-2.4434404450531466E-2</v>
      </c>
      <c r="R112" s="258">
        <v>63.830002</v>
      </c>
      <c r="S112" s="27">
        <f t="shared" ref="S112" si="720">R112/R111-1</f>
        <v>7.8399185926625314E-4</v>
      </c>
      <c r="T112" s="259">
        <v>2941.76001</v>
      </c>
      <c r="U112" s="27">
        <f t="shared" ref="U112" si="721">T112/T111-1</f>
        <v>-2.9486761776124082E-3</v>
      </c>
    </row>
    <row r="113" spans="1:21" x14ac:dyDescent="0.2">
      <c r="A113" s="223">
        <v>43647</v>
      </c>
      <c r="B113" s="1">
        <v>128.381516</v>
      </c>
      <c r="C113" s="27">
        <f t="shared" si="513"/>
        <v>1.4413196906299275E-2</v>
      </c>
      <c r="D113" s="258">
        <v>50.038485999999999</v>
      </c>
      <c r="E113" s="27">
        <f t="shared" si="513"/>
        <v>2.3370028380766517E-2</v>
      </c>
      <c r="F113" s="258">
        <v>39.739280999999998</v>
      </c>
      <c r="G113" s="27">
        <f t="shared" ref="G113" si="722">F113/F112-1</f>
        <v>3.7434493467490393E-2</v>
      </c>
      <c r="H113" s="258">
        <v>27.1404</v>
      </c>
      <c r="I113" s="27">
        <f t="shared" ref="I113" si="723">H113/H112-1</f>
        <v>5.8069334175825826E-2</v>
      </c>
      <c r="J113" s="258">
        <v>53.361018999999999</v>
      </c>
      <c r="K113" s="27">
        <f t="shared" ref="K113" si="724">J113/J112-1</f>
        <v>4.1067799104129055E-2</v>
      </c>
      <c r="L113" s="258">
        <v>28.957127</v>
      </c>
      <c r="M113" s="27">
        <f t="shared" ref="M113" si="725">L113/L112-1</f>
        <v>4.0830407714238737E-2</v>
      </c>
      <c r="N113" s="258">
        <v>28.918493000000002</v>
      </c>
      <c r="O113" s="27">
        <f t="shared" ref="O113" si="726">N113/N112-1</f>
        <v>-1.610970146715851E-3</v>
      </c>
      <c r="P113" s="258">
        <v>53.993659999999998</v>
      </c>
      <c r="Q113" s="27">
        <f t="shared" ref="Q113" si="727">P113/P112-1</f>
        <v>3.4624021866088706E-2</v>
      </c>
      <c r="R113" s="258">
        <v>65.919998000000007</v>
      </c>
      <c r="S113" s="27">
        <f t="shared" ref="S113" si="728">R113/R112-1</f>
        <v>3.2743160496846002E-2</v>
      </c>
      <c r="T113" s="259">
        <v>2990.4099120000001</v>
      </c>
      <c r="U113" s="27">
        <f t="shared" ref="U113" si="729">T113/T112-1</f>
        <v>1.6537685546959446E-2</v>
      </c>
    </row>
    <row r="114" spans="1:21" x14ac:dyDescent="0.2">
      <c r="A114" s="223">
        <v>43654</v>
      </c>
      <c r="B114" s="1">
        <v>128.63244599999999</v>
      </c>
      <c r="C114" s="27">
        <f t="shared" si="513"/>
        <v>1.9545648611907218E-3</v>
      </c>
      <c r="D114" s="258">
        <v>50.048088</v>
      </c>
      <c r="E114" s="27">
        <f t="shared" si="513"/>
        <v>1.9189229666149998E-4</v>
      </c>
      <c r="F114" s="258">
        <v>39.117908</v>
      </c>
      <c r="G114" s="27">
        <f t="shared" ref="G114" si="730">F114/F113-1</f>
        <v>-1.5636241632051684E-2</v>
      </c>
      <c r="H114" s="258">
        <v>26.705148999999999</v>
      </c>
      <c r="I114" s="27">
        <f t="shared" ref="I114" si="731">H114/H113-1</f>
        <v>-1.6037014929772608E-2</v>
      </c>
      <c r="J114" s="258">
        <v>52.193714</v>
      </c>
      <c r="K114" s="27">
        <f t="shared" ref="K114" si="732">J114/J113-1</f>
        <v>-2.1875612982578119E-2</v>
      </c>
      <c r="L114" s="258">
        <v>27.939793000000002</v>
      </c>
      <c r="M114" s="27">
        <f t="shared" ref="M114" si="733">L114/L113-1</f>
        <v>-3.5132421804138225E-2</v>
      </c>
      <c r="N114" s="258">
        <v>28.741192000000002</v>
      </c>
      <c r="O114" s="27">
        <f t="shared" ref="O114" si="734">N114/N113-1</f>
        <v>-6.1310594573513733E-3</v>
      </c>
      <c r="P114" s="258">
        <v>53.059711</v>
      </c>
      <c r="Q114" s="27">
        <f t="shared" ref="Q114" si="735">P114/P113-1</f>
        <v>-1.7297382692708752E-2</v>
      </c>
      <c r="R114" s="258">
        <v>65</v>
      </c>
      <c r="S114" s="27">
        <f t="shared" ref="S114" si="736">R114/R113-1</f>
        <v>-1.3956280763236739E-2</v>
      </c>
      <c r="T114" s="259">
        <v>3013.7700199999999</v>
      </c>
      <c r="U114" s="27">
        <f t="shared" ref="U114" si="737">T114/T113-1</f>
        <v>7.8116742143810036E-3</v>
      </c>
    </row>
    <row r="115" spans="1:21" x14ac:dyDescent="0.2">
      <c r="A115" s="223">
        <v>43661</v>
      </c>
      <c r="B115" s="1">
        <v>125.553673</v>
      </c>
      <c r="C115" s="27">
        <f t="shared" si="513"/>
        <v>-2.3934653314452103E-2</v>
      </c>
      <c r="D115" s="258">
        <v>49.347107000000001</v>
      </c>
      <c r="E115" s="27">
        <f t="shared" si="513"/>
        <v>-1.4006149445709104E-2</v>
      </c>
      <c r="F115" s="258">
        <v>39.788876000000002</v>
      </c>
      <c r="G115" s="27">
        <f t="shared" ref="G115" si="738">F115/F114-1</f>
        <v>1.7152450995078894E-2</v>
      </c>
      <c r="H115" s="258">
        <v>27.952869</v>
      </c>
      <c r="I115" s="27">
        <f t="shared" ref="I115" si="739">H115/H114-1</f>
        <v>4.6722075956213471E-2</v>
      </c>
      <c r="J115" s="258">
        <v>54.136032</v>
      </c>
      <c r="K115" s="27">
        <f t="shared" ref="K115" si="740">J115/J114-1</f>
        <v>3.7213638408640559E-2</v>
      </c>
      <c r="L115" s="258">
        <v>26.870049999999999</v>
      </c>
      <c r="M115" s="27">
        <f t="shared" ref="M115" si="741">L115/L114-1</f>
        <v>-3.8287434699319389E-2</v>
      </c>
      <c r="N115" s="258">
        <v>29.431732</v>
      </c>
      <c r="O115" s="27">
        <f t="shared" ref="O115" si="742">N115/N114-1</f>
        <v>2.4026143383336418E-2</v>
      </c>
      <c r="P115" s="258">
        <v>53.400215000000003</v>
      </c>
      <c r="Q115" s="27">
        <f t="shared" ref="Q115" si="743">P115/P114-1</f>
        <v>6.4173738149460036E-3</v>
      </c>
      <c r="R115" s="258">
        <v>63.259998000000003</v>
      </c>
      <c r="S115" s="27">
        <f t="shared" ref="S115" si="744">R115/R114-1</f>
        <v>-2.6769261538461486E-2</v>
      </c>
      <c r="T115" s="259">
        <v>2976.610107</v>
      </c>
      <c r="U115" s="27">
        <f t="shared" ref="U115" si="745">T115/T114-1</f>
        <v>-1.2330042688525999E-2</v>
      </c>
    </row>
    <row r="116" spans="1:21" x14ac:dyDescent="0.2">
      <c r="A116" s="223">
        <v>43668</v>
      </c>
      <c r="B116" s="1">
        <v>126.644272</v>
      </c>
      <c r="C116" s="27">
        <f t="shared" si="513"/>
        <v>8.6863169666091533E-3</v>
      </c>
      <c r="D116" s="258">
        <v>52.016590000000001</v>
      </c>
      <c r="E116" s="27">
        <f t="shared" si="513"/>
        <v>5.4096038497251753E-2</v>
      </c>
      <c r="F116" s="258">
        <v>39.490001999999997</v>
      </c>
      <c r="G116" s="27">
        <f t="shared" ref="G116" si="746">F116/F115-1</f>
        <v>-7.5114964293035991E-3</v>
      </c>
      <c r="H116" s="258">
        <v>28.204350999999999</v>
      </c>
      <c r="I116" s="27">
        <f t="shared" ref="I116" si="747">H116/H115-1</f>
        <v>8.9966436003403594E-3</v>
      </c>
      <c r="J116" s="258">
        <v>56.193161000000003</v>
      </c>
      <c r="K116" s="27">
        <f t="shared" ref="K116" si="748">J116/J115-1</f>
        <v>3.7999257130629793E-2</v>
      </c>
      <c r="L116" s="258">
        <v>27.327126</v>
      </c>
      <c r="M116" s="27">
        <f t="shared" ref="M116" si="749">L116/L115-1</f>
        <v>1.7010612187174923E-2</v>
      </c>
      <c r="N116" s="258">
        <v>29.721008000000001</v>
      </c>
      <c r="O116" s="27">
        <f t="shared" ref="O116" si="750">N116/N115-1</f>
        <v>9.8287114057711289E-3</v>
      </c>
      <c r="P116" s="258">
        <v>53.322392000000001</v>
      </c>
      <c r="Q116" s="27">
        <f t="shared" ref="Q116" si="751">P116/P115-1</f>
        <v>-1.4573536829393108E-3</v>
      </c>
      <c r="R116" s="258">
        <v>65.199996999999996</v>
      </c>
      <c r="S116" s="27">
        <f t="shared" ref="S116" si="752">R116/R115-1</f>
        <v>3.0667073369176956E-2</v>
      </c>
      <c r="T116" s="259">
        <v>3025.860107</v>
      </c>
      <c r="U116" s="27">
        <f t="shared" ref="U116" si="753">T116/T115-1</f>
        <v>1.6545667127911834E-2</v>
      </c>
    </row>
    <row r="117" spans="1:21" x14ac:dyDescent="0.2">
      <c r="A117" s="223">
        <v>43675</v>
      </c>
      <c r="B117" s="1">
        <v>123.459343</v>
      </c>
      <c r="C117" s="27">
        <f t="shared" si="513"/>
        <v>-2.5148622592263803E-2</v>
      </c>
      <c r="D117" s="258">
        <v>50.249737000000003</v>
      </c>
      <c r="E117" s="27">
        <f t="shared" si="513"/>
        <v>-3.3967105494612349E-2</v>
      </c>
      <c r="F117" s="258">
        <v>40.820473</v>
      </c>
      <c r="G117" s="27">
        <f t="shared" ref="G117" si="754">F117/F116-1</f>
        <v>3.3691337873317906E-2</v>
      </c>
      <c r="H117" s="258">
        <v>27.343515</v>
      </c>
      <c r="I117" s="27">
        <f t="shared" ref="I117" si="755">H117/H116-1</f>
        <v>-3.0521390121687197E-2</v>
      </c>
      <c r="J117" s="258">
        <v>60.661448999999998</v>
      </c>
      <c r="K117" s="27">
        <f t="shared" ref="K117" si="756">J117/J116-1</f>
        <v>7.951658031837705E-2</v>
      </c>
      <c r="L117" s="258">
        <v>27.327126</v>
      </c>
      <c r="M117" s="27">
        <f t="shared" ref="M117" si="757">L117/L116-1</f>
        <v>0</v>
      </c>
      <c r="N117" s="258">
        <v>30.056941999999999</v>
      </c>
      <c r="O117" s="27">
        <f t="shared" ref="O117" si="758">N117/N116-1</f>
        <v>1.1302914086897653E-2</v>
      </c>
      <c r="P117" s="258">
        <v>52.300888</v>
      </c>
      <c r="Q117" s="27">
        <f t="shared" ref="Q117" si="759">P117/P116-1</f>
        <v>-1.9157130085237006E-2</v>
      </c>
      <c r="R117" s="258">
        <v>62.389999000000003</v>
      </c>
      <c r="S117" s="27">
        <f t="shared" ref="S117" si="760">R117/R116-1</f>
        <v>-4.309813081739855E-2</v>
      </c>
      <c r="T117" s="259">
        <v>2932.0500489999999</v>
      </c>
      <c r="U117" s="27">
        <f t="shared" ref="U117" si="761">T117/T116-1</f>
        <v>-3.10027743129897E-2</v>
      </c>
    </row>
    <row r="118" spans="1:21" x14ac:dyDescent="0.2">
      <c r="A118" s="223">
        <v>43682</v>
      </c>
      <c r="B118" s="1">
        <v>124.115646</v>
      </c>
      <c r="C118" s="27">
        <f t="shared" si="513"/>
        <v>5.3159443753074687E-3</v>
      </c>
      <c r="D118" s="258">
        <v>51.296405999999998</v>
      </c>
      <c r="E118" s="27">
        <f t="shared" si="513"/>
        <v>2.0829342848102783E-2</v>
      </c>
      <c r="F118" s="258">
        <v>40.290215000000003</v>
      </c>
      <c r="G118" s="27">
        <f t="shared" ref="G118" si="762">F118/F117-1</f>
        <v>-1.2990001365246195E-2</v>
      </c>
      <c r="H118" s="258">
        <v>27.914487999999999</v>
      </c>
      <c r="I118" s="27">
        <f t="shared" ref="I118" si="763">H118/H117-1</f>
        <v>2.088147774710003E-2</v>
      </c>
      <c r="J118" s="258">
        <v>59.494140999999999</v>
      </c>
      <c r="K118" s="27">
        <f t="shared" ref="K118" si="764">J118/J117-1</f>
        <v>-1.9242995662698381E-2</v>
      </c>
      <c r="L118" s="258">
        <v>28.289891999999998</v>
      </c>
      <c r="M118" s="27">
        <f t="shared" ref="M118" si="765">L118/L117-1</f>
        <v>3.5231147249074057E-2</v>
      </c>
      <c r="N118" s="258">
        <v>24.728625999999998</v>
      </c>
      <c r="O118" s="27">
        <f t="shared" ref="O118" si="766">N118/N117-1</f>
        <v>-0.17727405535799357</v>
      </c>
      <c r="P118" s="258">
        <v>53.205643000000002</v>
      </c>
      <c r="Q118" s="27">
        <f t="shared" ref="Q118" si="767">P118/P117-1</f>
        <v>1.7299037064150813E-2</v>
      </c>
      <c r="R118" s="258">
        <v>59.23</v>
      </c>
      <c r="S118" s="27">
        <f t="shared" ref="S118" si="768">R118/R117-1</f>
        <v>-5.0649127274389083E-2</v>
      </c>
      <c r="T118" s="259">
        <v>2918.6499020000001</v>
      </c>
      <c r="U118" s="27">
        <f t="shared" ref="U118" si="769">T118/T117-1</f>
        <v>-4.5702313316821064E-3</v>
      </c>
    </row>
    <row r="119" spans="1:21" x14ac:dyDescent="0.2">
      <c r="A119" s="223">
        <v>43689</v>
      </c>
      <c r="B119" s="1">
        <v>127.165451</v>
      </c>
      <c r="C119" s="27">
        <f t="shared" si="513"/>
        <v>2.4572284786722243E-2</v>
      </c>
      <c r="D119" s="258">
        <v>52.247050999999999</v>
      </c>
      <c r="E119" s="27">
        <f t="shared" si="513"/>
        <v>1.8532389968997087E-2</v>
      </c>
      <c r="F119" s="258">
        <v>41.109707</v>
      </c>
      <c r="G119" s="27">
        <f t="shared" ref="G119" si="770">F119/F118-1</f>
        <v>2.0339727648511996E-2</v>
      </c>
      <c r="H119" s="258">
        <v>28.713436000000002</v>
      </c>
      <c r="I119" s="27">
        <f t="shared" ref="I119" si="771">H119/H118-1</f>
        <v>2.8621266490719943E-2</v>
      </c>
      <c r="J119" s="258">
        <v>61.025032000000003</v>
      </c>
      <c r="K119" s="27">
        <f t="shared" ref="K119" si="772">J119/J118-1</f>
        <v>2.5731794329125757E-2</v>
      </c>
      <c r="L119" s="258">
        <v>27.239598999999998</v>
      </c>
      <c r="M119" s="27">
        <f t="shared" ref="M119" si="773">L119/L118-1</f>
        <v>-3.7126087296480259E-2</v>
      </c>
      <c r="N119" s="258">
        <v>23.711485</v>
      </c>
      <c r="O119" s="27">
        <f t="shared" ref="O119" si="774">N119/N118-1</f>
        <v>-4.1132127599810775E-2</v>
      </c>
      <c r="P119" s="258">
        <v>53.059711</v>
      </c>
      <c r="Q119" s="27">
        <f t="shared" ref="Q119" si="775">P119/P118-1</f>
        <v>-2.7427917749250907E-3</v>
      </c>
      <c r="R119" s="258">
        <v>57.18</v>
      </c>
      <c r="S119" s="27">
        <f t="shared" ref="S119" si="776">R119/R118-1</f>
        <v>-3.4610839101806512E-2</v>
      </c>
      <c r="T119" s="259">
        <v>2888.679932</v>
      </c>
      <c r="U119" s="27">
        <f t="shared" ref="U119" si="777">T119/T118-1</f>
        <v>-1.0268436094189703E-2</v>
      </c>
    </row>
    <row r="120" spans="1:21" x14ac:dyDescent="0.2">
      <c r="A120" s="223">
        <v>43696</v>
      </c>
      <c r="B120" s="1">
        <v>125.727402</v>
      </c>
      <c r="C120" s="27">
        <f t="shared" si="513"/>
        <v>-1.1308488183634169E-2</v>
      </c>
      <c r="D120" s="258">
        <v>51.603687000000001</v>
      </c>
      <c r="E120" s="27">
        <f t="shared" si="513"/>
        <v>-1.2313881600705012E-2</v>
      </c>
      <c r="F120" s="258">
        <v>41.148273000000003</v>
      </c>
      <c r="G120" s="27">
        <f t="shared" ref="G120" si="778">F120/F119-1</f>
        <v>9.3812393262737714E-4</v>
      </c>
      <c r="H120" s="258">
        <v>27.212971</v>
      </c>
      <c r="I120" s="27">
        <f t="shared" ref="I120" si="779">H120/H119-1</f>
        <v>-5.2256546377800306E-2</v>
      </c>
      <c r="J120" s="258">
        <v>60.517918000000002</v>
      </c>
      <c r="K120" s="27">
        <f t="shared" ref="K120" si="780">J120/J119-1</f>
        <v>-8.3099341922507897E-3</v>
      </c>
      <c r="L120" s="258">
        <v>25.985077</v>
      </c>
      <c r="M120" s="27">
        <f t="shared" ref="M120" si="781">L120/L119-1</f>
        <v>-4.605508326315666E-2</v>
      </c>
      <c r="N120" s="258">
        <v>23.636832999999999</v>
      </c>
      <c r="O120" s="27">
        <f t="shared" ref="O120" si="782">N120/N119-1</f>
        <v>-3.1483477310678687E-3</v>
      </c>
      <c r="P120" s="258">
        <v>52.174416000000001</v>
      </c>
      <c r="Q120" s="27">
        <f t="shared" ref="Q120" si="783">P120/P119-1</f>
        <v>-1.6684881679811636E-2</v>
      </c>
      <c r="R120" s="258">
        <v>56.080002</v>
      </c>
      <c r="S120" s="27">
        <f t="shared" ref="S120" si="784">R120/R119-1</f>
        <v>-1.9237460650577076E-2</v>
      </c>
      <c r="T120" s="259">
        <v>2847.110107</v>
      </c>
      <c r="U120" s="27">
        <f t="shared" ref="U120" si="785">T120/T119-1</f>
        <v>-1.4390595697190589E-2</v>
      </c>
    </row>
    <row r="121" spans="1:21" x14ac:dyDescent="0.2">
      <c r="A121" s="223">
        <v>43703</v>
      </c>
      <c r="B121" s="1">
        <v>131.96212800000001</v>
      </c>
      <c r="C121" s="27">
        <f t="shared" si="513"/>
        <v>4.9589237515621276E-2</v>
      </c>
      <c r="D121" s="258">
        <v>52.852009000000002</v>
      </c>
      <c r="E121" s="27">
        <f t="shared" si="513"/>
        <v>2.4190558321927735E-2</v>
      </c>
      <c r="F121" s="258">
        <v>43.385005999999997</v>
      </c>
      <c r="G121" s="27">
        <f t="shared" ref="G121" si="786">F121/F120-1</f>
        <v>5.435788277189646E-2</v>
      </c>
      <c r="H121" s="258">
        <v>27.631933</v>
      </c>
      <c r="I121" s="27">
        <f t="shared" ref="I121" si="787">H121/H120-1</f>
        <v>1.5395672894370938E-2</v>
      </c>
      <c r="J121" s="258">
        <v>60.087356999999997</v>
      </c>
      <c r="K121" s="27">
        <f t="shared" ref="K121" si="788">J121/J120-1</f>
        <v>-7.1146036451552597E-3</v>
      </c>
      <c r="L121" s="258">
        <v>26.529678000000001</v>
      </c>
      <c r="M121" s="27">
        <f t="shared" ref="M121" si="789">L121/L120-1</f>
        <v>2.0958221520759768E-2</v>
      </c>
      <c r="N121" s="258">
        <v>24.190491000000002</v>
      </c>
      <c r="O121" s="27">
        <f t="shared" ref="O121" si="790">N121/N120-1</f>
        <v>2.3423527170497005E-2</v>
      </c>
      <c r="P121" s="258">
        <v>53.721263999999998</v>
      </c>
      <c r="Q121" s="27">
        <f t="shared" ref="Q121" si="791">P121/P120-1</f>
        <v>2.9647634196806383E-2</v>
      </c>
      <c r="R121" s="258">
        <v>58.669998</v>
      </c>
      <c r="S121" s="27">
        <f t="shared" ref="S121" si="792">R121/R120-1</f>
        <v>4.6183949850786332E-2</v>
      </c>
      <c r="T121" s="259">
        <v>2926.459961</v>
      </c>
      <c r="U121" s="27">
        <f t="shared" ref="U121" si="793">T121/T120-1</f>
        <v>2.7870314465502366E-2</v>
      </c>
    </row>
    <row r="122" spans="1:21" x14ac:dyDescent="0.2">
      <c r="A122" s="223">
        <v>43710</v>
      </c>
      <c r="B122" s="1">
        <v>132.579803</v>
      </c>
      <c r="C122" s="27">
        <f t="shared" si="513"/>
        <v>4.6806989956995615E-3</v>
      </c>
      <c r="D122" s="258">
        <v>53.034453999999997</v>
      </c>
      <c r="E122" s="27">
        <f t="shared" si="513"/>
        <v>3.451997444411159E-3</v>
      </c>
      <c r="F122" s="258">
        <v>43.365726000000002</v>
      </c>
      <c r="G122" s="27">
        <f t="shared" ref="G122" si="794">F122/F121-1</f>
        <v>-4.4439316200617363E-4</v>
      </c>
      <c r="H122" s="258">
        <v>27.924230999999999</v>
      </c>
      <c r="I122" s="27">
        <f t="shared" ref="I122" si="795">H122/H121-1</f>
        <v>1.0578268266646429E-2</v>
      </c>
      <c r="J122" s="258">
        <v>62.007393</v>
      </c>
      <c r="K122" s="27">
        <f t="shared" ref="K122" si="796">J122/J121-1</f>
        <v>3.1954076462374692E-2</v>
      </c>
      <c r="L122" s="258">
        <v>26.121229</v>
      </c>
      <c r="M122" s="27">
        <f t="shared" ref="M122" si="797">L122/L121-1</f>
        <v>-1.5395927534438969E-2</v>
      </c>
      <c r="N122" s="258">
        <v>25.858801</v>
      </c>
      <c r="O122" s="27">
        <f t="shared" ref="O122" si="798">N122/N121-1</f>
        <v>6.8965528645119178E-2</v>
      </c>
      <c r="P122" s="258">
        <v>55.092987000000001</v>
      </c>
      <c r="Q122" s="27">
        <f t="shared" ref="Q122" si="799">P122/P121-1</f>
        <v>2.5534079019436273E-2</v>
      </c>
      <c r="R122" s="258">
        <v>57.169998</v>
      </c>
      <c r="S122" s="27">
        <f t="shared" ref="S122" si="800">R122/R121-1</f>
        <v>-2.5566730034659257E-2</v>
      </c>
      <c r="T122" s="259">
        <v>2978.709961</v>
      </c>
      <c r="U122" s="27">
        <f t="shared" ref="U122" si="801">T122/T121-1</f>
        <v>1.7854336193325437E-2</v>
      </c>
    </row>
    <row r="123" spans="1:21" x14ac:dyDescent="0.2">
      <c r="A123" s="223">
        <v>43717</v>
      </c>
      <c r="B123" s="1">
        <v>132.59225499999999</v>
      </c>
      <c r="C123" s="27">
        <f t="shared" si="513"/>
        <v>9.3920791238488732E-5</v>
      </c>
      <c r="D123" s="258">
        <v>52.103015999999997</v>
      </c>
      <c r="E123" s="27">
        <f t="shared" si="513"/>
        <v>-1.7562884686245672E-2</v>
      </c>
      <c r="F123" s="258">
        <v>44.619072000000003</v>
      </c>
      <c r="G123" s="27">
        <f t="shared" ref="G123" si="802">F123/F122-1</f>
        <v>2.8901764494845494E-2</v>
      </c>
      <c r="H123" s="258">
        <v>29.103166999999999</v>
      </c>
      <c r="I123" s="27">
        <f t="shared" ref="I123" si="803">H123/H122-1</f>
        <v>4.2219103544874681E-2</v>
      </c>
      <c r="J123" s="258">
        <v>61.167369999999998</v>
      </c>
      <c r="K123" s="27">
        <f t="shared" ref="K123" si="804">J123/J122-1</f>
        <v>-1.3547142677003077E-2</v>
      </c>
      <c r="L123" s="258">
        <v>26.792252000000001</v>
      </c>
      <c r="M123" s="27">
        <f t="shared" ref="M123" si="805">L123/L122-1</f>
        <v>2.5688798945868951E-2</v>
      </c>
      <c r="N123" s="258">
        <v>27.72617</v>
      </c>
      <c r="O123" s="27">
        <f t="shared" ref="O123" si="806">N123/N122-1</f>
        <v>7.2214059731539715E-2</v>
      </c>
      <c r="P123" s="258">
        <v>52.612202000000003</v>
      </c>
      <c r="Q123" s="27">
        <f t="shared" ref="Q123" si="807">P123/P122-1</f>
        <v>-4.5029052427308036E-2</v>
      </c>
      <c r="R123" s="258">
        <v>58.860000999999997</v>
      </c>
      <c r="S123" s="27">
        <f t="shared" ref="S123" si="808">R123/R122-1</f>
        <v>2.9561012053909819E-2</v>
      </c>
      <c r="T123" s="259">
        <v>3007.389893</v>
      </c>
      <c r="U123" s="27">
        <f t="shared" ref="U123" si="809">T123/T122-1</f>
        <v>9.6283063391549017E-3</v>
      </c>
    </row>
    <row r="124" spans="1:21" x14ac:dyDescent="0.2">
      <c r="A124" s="223">
        <v>43724</v>
      </c>
      <c r="B124" s="1">
        <v>130.91104100000001</v>
      </c>
      <c r="C124" s="27">
        <f t="shared" si="513"/>
        <v>-1.2679579210716163E-2</v>
      </c>
      <c r="D124" s="258">
        <v>52.145412</v>
      </c>
      <c r="E124" s="27">
        <f t="shared" si="513"/>
        <v>8.1369569853695367E-4</v>
      </c>
      <c r="F124" s="258">
        <v>45.081843999999997</v>
      </c>
      <c r="G124" s="27">
        <f t="shared" ref="G124" si="810">F124/F123-1</f>
        <v>1.0371618665668159E-2</v>
      </c>
      <c r="H124" s="258">
        <v>29.044706000000001</v>
      </c>
      <c r="I124" s="27">
        <f t="shared" ref="I124" si="811">H124/H123-1</f>
        <v>-2.0087504566083103E-3</v>
      </c>
      <c r="J124" s="258">
        <v>61.534275000000001</v>
      </c>
      <c r="K124" s="27">
        <f t="shared" ref="K124" si="812">J124/J123-1</f>
        <v>5.9983778933114795E-3</v>
      </c>
      <c r="L124" s="258">
        <v>26.568577000000001</v>
      </c>
      <c r="M124" s="27">
        <f t="shared" ref="M124" si="813">L124/L123-1</f>
        <v>-8.3484956770337737E-3</v>
      </c>
      <c r="N124" s="258">
        <v>26.673995999999999</v>
      </c>
      <c r="O124" s="27">
        <f t="shared" ref="O124" si="814">N124/N123-1</f>
        <v>-3.7948768257570431E-2</v>
      </c>
      <c r="P124" s="258">
        <v>53.166733000000001</v>
      </c>
      <c r="Q124" s="27">
        <f t="shared" ref="Q124" si="815">P124/P123-1</f>
        <v>1.0539969416220263E-2</v>
      </c>
      <c r="R124" s="258">
        <v>58.349997999999999</v>
      </c>
      <c r="S124" s="27">
        <f t="shared" ref="S124" si="816">R124/R123-1</f>
        <v>-8.6646787518742663E-3</v>
      </c>
      <c r="T124" s="259">
        <v>2992.070068</v>
      </c>
      <c r="U124" s="27">
        <f t="shared" ref="U124" si="817">T124/T123-1</f>
        <v>-5.0940601468597579E-3</v>
      </c>
    </row>
    <row r="125" spans="1:21" x14ac:dyDescent="0.2">
      <c r="A125" s="223">
        <v>43731</v>
      </c>
      <c r="B125" s="1">
        <v>131.77593999999999</v>
      </c>
      <c r="C125" s="27">
        <f t="shared" si="513"/>
        <v>6.606768943193897E-3</v>
      </c>
      <c r="D125" s="258">
        <v>52.532322000000001</v>
      </c>
      <c r="E125" s="27">
        <f t="shared" si="513"/>
        <v>7.4198282295669937E-3</v>
      </c>
      <c r="F125" s="258">
        <v>45.187897</v>
      </c>
      <c r="G125" s="27">
        <f t="shared" ref="G125" si="818">F125/F124-1</f>
        <v>2.3524547931093043E-3</v>
      </c>
      <c r="H125" s="258">
        <v>29.502644</v>
      </c>
      <c r="I125" s="27">
        <f t="shared" ref="I125" si="819">H125/H124-1</f>
        <v>1.5766659851884857E-2</v>
      </c>
      <c r="J125" s="258">
        <v>61.891528999999998</v>
      </c>
      <c r="K125" s="27">
        <f t="shared" ref="K125" si="820">J125/J124-1</f>
        <v>5.8057724739586369E-3</v>
      </c>
      <c r="L125" s="258">
        <v>26.257380000000001</v>
      </c>
      <c r="M125" s="27">
        <f t="shared" ref="M125" si="821">L125/L124-1</f>
        <v>-1.1712972057178694E-2</v>
      </c>
      <c r="N125" s="258">
        <v>26.389627000000001</v>
      </c>
      <c r="O125" s="27">
        <f t="shared" ref="O125" si="822">N125/N124-1</f>
        <v>-1.066090734961489E-2</v>
      </c>
      <c r="P125" s="258">
        <v>53.886642000000002</v>
      </c>
      <c r="Q125" s="27">
        <f t="shared" ref="Q125" si="823">P125/P124-1</f>
        <v>1.3540591256566481E-2</v>
      </c>
      <c r="R125" s="258">
        <v>57.810001</v>
      </c>
      <c r="S125" s="27">
        <f t="shared" ref="S125" si="824">R125/R124-1</f>
        <v>-9.2544476179758917E-3</v>
      </c>
      <c r="T125" s="259">
        <v>2961.790039</v>
      </c>
      <c r="U125" s="27">
        <f t="shared" ref="U125" si="825">T125/T124-1</f>
        <v>-1.0120093551231668E-2</v>
      </c>
    </row>
    <row r="126" spans="1:21" x14ac:dyDescent="0.2">
      <c r="A126" s="223">
        <v>43738</v>
      </c>
      <c r="B126" s="1">
        <v>136.32394400000001</v>
      </c>
      <c r="C126" s="27">
        <f t="shared" si="513"/>
        <v>3.4513159230736834E-2</v>
      </c>
      <c r="D126" s="258">
        <v>52.754795000000001</v>
      </c>
      <c r="E126" s="27">
        <f t="shared" si="513"/>
        <v>4.2349736605971078E-3</v>
      </c>
      <c r="F126" s="258">
        <v>45.641029000000003</v>
      </c>
      <c r="G126" s="27">
        <f t="shared" ref="G126" si="826">F126/F125-1</f>
        <v>1.0027729327611867E-2</v>
      </c>
      <c r="H126" s="258">
        <v>28.119097</v>
      </c>
      <c r="I126" s="27">
        <f t="shared" ref="I126" si="827">H126/H125-1</f>
        <v>-4.6895695179049013E-2</v>
      </c>
      <c r="J126" s="258">
        <v>60.665291000000003</v>
      </c>
      <c r="K126" s="27">
        <f t="shared" ref="K126" si="828">J126/J125-1</f>
        <v>-1.9812695207449105E-2</v>
      </c>
      <c r="L126" s="258">
        <v>26.850601000000001</v>
      </c>
      <c r="M126" s="27">
        <f t="shared" ref="M126" si="829">L126/L125-1</f>
        <v>2.2592543505863816E-2</v>
      </c>
      <c r="N126" s="258">
        <v>25.569689</v>
      </c>
      <c r="O126" s="27">
        <f t="shared" ref="O126" si="830">N126/N125-1</f>
        <v>-3.1070465679564174E-2</v>
      </c>
      <c r="P126" s="258">
        <v>54.740772</v>
      </c>
      <c r="Q126" s="27">
        <f t="shared" ref="Q126" si="831">P126/P125-1</f>
        <v>1.5850495935523234E-2</v>
      </c>
      <c r="R126" s="258">
        <v>56.580002</v>
      </c>
      <c r="S126" s="27">
        <f t="shared" ref="S126" si="832">R126/R125-1</f>
        <v>-2.127657807859229E-2</v>
      </c>
      <c r="T126" s="259">
        <v>2952.01001</v>
      </c>
      <c r="U126" s="27">
        <f t="shared" ref="U126" si="833">T126/T125-1</f>
        <v>-3.3020669497902944E-3</v>
      </c>
    </row>
    <row r="127" spans="1:21" x14ac:dyDescent="0.2">
      <c r="A127" s="223">
        <v>43745</v>
      </c>
      <c r="B127" s="1">
        <v>133.75839199999999</v>
      </c>
      <c r="C127" s="27">
        <f t="shared" si="513"/>
        <v>-1.8819525937424642E-2</v>
      </c>
      <c r="D127" s="258">
        <v>51.555382000000002</v>
      </c>
      <c r="E127" s="27">
        <f t="shared" si="513"/>
        <v>-2.2735620525110578E-2</v>
      </c>
      <c r="F127" s="258">
        <v>45.187897</v>
      </c>
      <c r="G127" s="27">
        <f t="shared" ref="G127" si="834">F127/F126-1</f>
        <v>-9.9281723030391067E-3</v>
      </c>
      <c r="H127" s="258">
        <v>27.680648999999999</v>
      </c>
      <c r="I127" s="27">
        <f t="shared" ref="I127" si="835">H127/H126-1</f>
        <v>-1.5592534852737261E-2</v>
      </c>
      <c r="J127" s="258">
        <v>59.989407</v>
      </c>
      <c r="K127" s="27">
        <f t="shared" ref="K127" si="836">J127/J126-1</f>
        <v>-1.1141197690785032E-2</v>
      </c>
      <c r="L127" s="258">
        <v>27.196697</v>
      </c>
      <c r="M127" s="27">
        <f t="shared" ref="M127" si="837">L127/L126-1</f>
        <v>1.2889692860133639E-2</v>
      </c>
      <c r="N127" s="258">
        <v>25.669219999999999</v>
      </c>
      <c r="O127" s="27">
        <f t="shared" ref="O127" si="838">N127/N126-1</f>
        <v>3.892538544367774E-3</v>
      </c>
      <c r="P127" s="258">
        <v>53.606453000000002</v>
      </c>
      <c r="Q127" s="27">
        <f t="shared" ref="Q127" si="839">P127/P126-1</f>
        <v>-2.0721647842306568E-2</v>
      </c>
      <c r="R127" s="258">
        <v>56.299999</v>
      </c>
      <c r="S127" s="27">
        <f t="shared" ref="S127" si="840">R127/R126-1</f>
        <v>-4.9487979869636822E-3</v>
      </c>
      <c r="T127" s="259">
        <v>2970.2700199999999</v>
      </c>
      <c r="U127" s="27">
        <f t="shared" ref="U127" si="841">T127/T126-1</f>
        <v>6.1856192689535572E-3</v>
      </c>
    </row>
    <row r="128" spans="1:21" x14ac:dyDescent="0.2">
      <c r="A128" s="223">
        <v>43752</v>
      </c>
      <c r="B128" s="1">
        <v>132.40760800000001</v>
      </c>
      <c r="C128" s="27">
        <f t="shared" si="513"/>
        <v>-1.0098685994968992E-2</v>
      </c>
      <c r="D128" s="258">
        <v>52.986935000000003</v>
      </c>
      <c r="E128" s="27">
        <f t="shared" si="513"/>
        <v>2.7767285285559495E-2</v>
      </c>
      <c r="F128" s="258">
        <v>46.198860000000003</v>
      </c>
      <c r="G128" s="27">
        <f t="shared" ref="G128" si="842">F128/F127-1</f>
        <v>2.237242861733546E-2</v>
      </c>
      <c r="H128" s="258">
        <v>26.452997</v>
      </c>
      <c r="I128" s="27">
        <f t="shared" ref="I128" si="843">H128/H127-1</f>
        <v>-4.435054972880148E-2</v>
      </c>
      <c r="J128" s="258">
        <v>59.805945999999999</v>
      </c>
      <c r="K128" s="27">
        <f t="shared" ref="K128" si="844">J128/J127-1</f>
        <v>-3.0582232626503725E-3</v>
      </c>
      <c r="L128" s="258">
        <v>26.981546000000002</v>
      </c>
      <c r="M128" s="27">
        <f t="shared" ref="M128" si="845">L128/L127-1</f>
        <v>-7.9109238890295863E-3</v>
      </c>
      <c r="N128" s="258">
        <v>26.171607999999999</v>
      </c>
      <c r="O128" s="27">
        <f t="shared" ref="O128" si="846">N128/N127-1</f>
        <v>1.9571611447484649E-2</v>
      </c>
      <c r="P128" s="258">
        <v>53.273978999999997</v>
      </c>
      <c r="Q128" s="27">
        <f t="shared" ref="Q128" si="847">P128/P127-1</f>
        <v>-6.2021264492169159E-3</v>
      </c>
      <c r="R128" s="258">
        <v>56.060001</v>
      </c>
      <c r="S128" s="27">
        <f t="shared" ref="S128" si="848">R128/R127-1</f>
        <v>-4.2628419940113904E-3</v>
      </c>
      <c r="T128" s="259">
        <v>2986.1999510000001</v>
      </c>
      <c r="U128" s="27">
        <f t="shared" ref="U128" si="849">T128/T127-1</f>
        <v>5.3631255383306264E-3</v>
      </c>
    </row>
    <row r="129" spans="1:21" x14ac:dyDescent="0.2">
      <c r="A129" s="223">
        <v>43759</v>
      </c>
      <c r="B129" s="1">
        <v>132.78660600000001</v>
      </c>
      <c r="C129" s="27">
        <f t="shared" si="513"/>
        <v>2.8623581811100252E-3</v>
      </c>
      <c r="D129" s="258">
        <v>51.990650000000002</v>
      </c>
      <c r="E129" s="27">
        <f t="shared" si="513"/>
        <v>-1.8802465173726302E-2</v>
      </c>
      <c r="F129" s="258">
        <v>45.130341000000001</v>
      </c>
      <c r="G129" s="27">
        <f t="shared" ref="G129" si="850">F129/F128-1</f>
        <v>-2.3128687590992514E-2</v>
      </c>
      <c r="H129" s="258">
        <v>26.228901</v>
      </c>
      <c r="I129" s="27">
        <f t="shared" ref="I129" si="851">H129/H128-1</f>
        <v>-8.4714786759322314E-3</v>
      </c>
      <c r="J129" s="258">
        <v>58.79213</v>
      </c>
      <c r="K129" s="27">
        <f t="shared" ref="K129" si="852">J129/J128-1</f>
        <v>-1.6951759278249656E-2</v>
      </c>
      <c r="L129" s="258">
        <v>26.903313000000001</v>
      </c>
      <c r="M129" s="27">
        <f t="shared" ref="M129" si="853">L129/L128-1</f>
        <v>-2.8995002732609132E-3</v>
      </c>
      <c r="N129" s="258">
        <v>26.901495000000001</v>
      </c>
      <c r="O129" s="27">
        <f t="shared" ref="O129" si="854">N129/N128-1</f>
        <v>2.7888504214185206E-2</v>
      </c>
      <c r="P129" s="258">
        <v>51.601832999999999</v>
      </c>
      <c r="Q129" s="27">
        <f t="shared" ref="Q129" si="855">P129/P128-1</f>
        <v>-3.1387668640256772E-2</v>
      </c>
      <c r="R129" s="258">
        <v>56.349997999999999</v>
      </c>
      <c r="S129" s="27">
        <f t="shared" ref="S129" si="856">R129/R128-1</f>
        <v>5.1729752912419436E-3</v>
      </c>
      <c r="T129" s="259">
        <v>3022.5500489999999</v>
      </c>
      <c r="U129" s="27">
        <f t="shared" ref="U129" si="857">T129/T128-1</f>
        <v>1.217269392420528E-2</v>
      </c>
    </row>
    <row r="130" spans="1:21" x14ac:dyDescent="0.2">
      <c r="A130" s="223">
        <v>43766</v>
      </c>
      <c r="B130" s="1">
        <v>133.06842</v>
      </c>
      <c r="C130" s="27">
        <f t="shared" si="513"/>
        <v>2.1223074260967589E-3</v>
      </c>
      <c r="D130" s="258">
        <v>52.135738000000003</v>
      </c>
      <c r="E130" s="27">
        <f t="shared" si="513"/>
        <v>2.7906556275023586E-3</v>
      </c>
      <c r="F130" s="258">
        <v>45.208053999999997</v>
      </c>
      <c r="G130" s="27">
        <f t="shared" ref="G130" si="858">F130/F129-1</f>
        <v>1.7219679328368542E-3</v>
      </c>
      <c r="H130" s="258">
        <v>26.764782</v>
      </c>
      <c r="I130" s="27">
        <f t="shared" ref="I130" si="859">H130/H129-1</f>
        <v>2.0430936088401186E-2</v>
      </c>
      <c r="J130" s="258">
        <v>61.486004000000001</v>
      </c>
      <c r="K130" s="27">
        <f t="shared" ref="K130" si="860">J130/J129-1</f>
        <v>4.5820316426705476E-2</v>
      </c>
      <c r="L130" s="258">
        <v>27.587872999999998</v>
      </c>
      <c r="M130" s="27">
        <f t="shared" ref="M130" si="861">L130/L129-1</f>
        <v>2.5445193311321779E-2</v>
      </c>
      <c r="N130" s="258">
        <v>30.911124999999998</v>
      </c>
      <c r="O130" s="27">
        <f t="shared" ref="O130" si="862">N130/N129-1</f>
        <v>0.14904859376774415</v>
      </c>
      <c r="P130" s="258">
        <v>50.878216000000002</v>
      </c>
      <c r="Q130" s="27">
        <f t="shared" ref="Q130" si="863">P130/P129-1</f>
        <v>-1.4023087125606515E-2</v>
      </c>
      <c r="R130" s="258">
        <v>56.25</v>
      </c>
      <c r="S130" s="27">
        <f t="shared" ref="S130" si="864">R130/R129-1</f>
        <v>-1.7745874631619474E-3</v>
      </c>
      <c r="T130" s="259">
        <v>3066.9099120000001</v>
      </c>
      <c r="U130" s="27">
        <f t="shared" ref="U130" si="865">T130/T129-1</f>
        <v>1.4676303876151264E-2</v>
      </c>
    </row>
    <row r="131" spans="1:21" x14ac:dyDescent="0.2">
      <c r="A131" s="223">
        <v>43773</v>
      </c>
      <c r="B131" s="1">
        <v>129.37558000000001</v>
      </c>
      <c r="C131" s="27">
        <f t="shared" si="513"/>
        <v>-2.7751437944479873E-2</v>
      </c>
      <c r="D131" s="258">
        <v>50.501057000000003</v>
      </c>
      <c r="E131" s="27">
        <f t="shared" si="513"/>
        <v>-3.1354327428912643E-2</v>
      </c>
      <c r="F131" s="258">
        <v>44.926349999999999</v>
      </c>
      <c r="G131" s="27">
        <f t="shared" ref="G131" si="866">F131/F130-1</f>
        <v>-6.2312790548338937E-3</v>
      </c>
      <c r="H131" s="258">
        <v>26.942053000000001</v>
      </c>
      <c r="I131" s="27">
        <f t="shared" ref="I131" si="867">H131/H130-1</f>
        <v>6.6232932515573051E-3</v>
      </c>
      <c r="J131" s="258">
        <v>61.785324000000003</v>
      </c>
      <c r="K131" s="27">
        <f t="shared" ref="K131" si="868">J131/J130-1</f>
        <v>4.8680997386008062E-3</v>
      </c>
      <c r="L131" s="258">
        <v>28.556044</v>
      </c>
      <c r="M131" s="27">
        <f t="shared" ref="M131" si="869">L131/L130-1</f>
        <v>3.5094079199219141E-2</v>
      </c>
      <c r="N131" s="258">
        <v>31.13862</v>
      </c>
      <c r="O131" s="27">
        <f t="shared" ref="O131" si="870">N131/N130-1</f>
        <v>7.3596480231632455E-3</v>
      </c>
      <c r="P131" s="258">
        <v>50.584854</v>
      </c>
      <c r="Q131" s="27">
        <f t="shared" ref="Q131" si="871">P131/P130-1</f>
        <v>-5.7659647500218902E-3</v>
      </c>
      <c r="R131" s="258">
        <v>58.16</v>
      </c>
      <c r="S131" s="27">
        <f t="shared" ref="S131" si="872">R131/R130-1</f>
        <v>3.3955555555555517E-2</v>
      </c>
      <c r="T131" s="259">
        <v>3093.080078</v>
      </c>
      <c r="U131" s="27">
        <f t="shared" ref="U131" si="873">T131/T130-1</f>
        <v>8.5330729466825961E-3</v>
      </c>
    </row>
    <row r="132" spans="1:21" x14ac:dyDescent="0.2">
      <c r="A132" s="223">
        <v>43780</v>
      </c>
      <c r="B132" s="1">
        <v>130.036407</v>
      </c>
      <c r="C132" s="27">
        <f t="shared" si="513"/>
        <v>5.1078186470736586E-3</v>
      </c>
      <c r="D132" s="258">
        <v>50.945999</v>
      </c>
      <c r="E132" s="27">
        <f t="shared" si="513"/>
        <v>8.8105482623859199E-3</v>
      </c>
      <c r="F132" s="258">
        <v>45.926872000000003</v>
      </c>
      <c r="G132" s="27">
        <f t="shared" ref="G132" si="874">F132/F131-1</f>
        <v>2.2270271232806671E-2</v>
      </c>
      <c r="H132" s="258">
        <v>28.287191</v>
      </c>
      <c r="I132" s="27">
        <f t="shared" ref="I132" si="875">H132/H131-1</f>
        <v>4.9927078682533876E-2</v>
      </c>
      <c r="J132" s="258">
        <v>62.43224</v>
      </c>
      <c r="K132" s="27">
        <f t="shared" ref="K132" si="876">J132/J131-1</f>
        <v>1.0470382901933029E-2</v>
      </c>
      <c r="L132" s="258">
        <v>29.357959999999999</v>
      </c>
      <c r="M132" s="27">
        <f t="shared" ref="M132" si="877">L132/L131-1</f>
        <v>2.8082181131251938E-2</v>
      </c>
      <c r="N132" s="258">
        <v>29.669369</v>
      </c>
      <c r="O132" s="27">
        <f t="shared" ref="O132" si="878">N132/N131-1</f>
        <v>-4.7184204052716505E-2</v>
      </c>
      <c r="P132" s="258">
        <v>51.650725999999999</v>
      </c>
      <c r="Q132" s="27">
        <f t="shared" ref="Q132" si="879">P132/P131-1</f>
        <v>2.1070971164609764E-2</v>
      </c>
      <c r="R132" s="258">
        <v>58.639999000000003</v>
      </c>
      <c r="S132" s="27">
        <f t="shared" ref="S132" si="880">R132/R131-1</f>
        <v>8.2530777166438529E-3</v>
      </c>
      <c r="T132" s="259">
        <v>3120.459961</v>
      </c>
      <c r="U132" s="27">
        <f t="shared" ref="U132" si="881">T132/T131-1</f>
        <v>8.8519800036033214E-3</v>
      </c>
    </row>
    <row r="133" spans="1:21" x14ac:dyDescent="0.2">
      <c r="A133" s="223">
        <v>43787</v>
      </c>
      <c r="B133" s="1">
        <v>130.28909300000001</v>
      </c>
      <c r="C133" s="27">
        <f t="shared" si="513"/>
        <v>1.9431942625114385E-3</v>
      </c>
      <c r="D133" s="258">
        <v>51.294212000000002</v>
      </c>
      <c r="E133" s="27">
        <f t="shared" si="513"/>
        <v>6.8349430148577639E-3</v>
      </c>
      <c r="F133" s="258">
        <v>45.489758000000002</v>
      </c>
      <c r="G133" s="27">
        <f t="shared" ref="G133" si="882">F133/F132-1</f>
        <v>-9.5176087759689665E-3</v>
      </c>
      <c r="H133" s="258">
        <v>28.208642999999999</v>
      </c>
      <c r="I133" s="27">
        <f t="shared" ref="I133" si="883">H133/H132-1</f>
        <v>-2.7768045261192809E-3</v>
      </c>
      <c r="J133" s="258">
        <v>62.287407000000002</v>
      </c>
      <c r="K133" s="27">
        <f t="shared" ref="K133" si="884">J133/J132-1</f>
        <v>-2.3198430810748016E-3</v>
      </c>
      <c r="L133" s="258">
        <v>29.631784</v>
      </c>
      <c r="M133" s="27">
        <f t="shared" ref="M133" si="885">L133/L132-1</f>
        <v>9.3270785844794535E-3</v>
      </c>
      <c r="N133" s="258">
        <v>29.300926</v>
      </c>
      <c r="O133" s="27">
        <f t="shared" ref="O133" si="886">N133/N132-1</f>
        <v>-1.2418295785124323E-2</v>
      </c>
      <c r="P133" s="258">
        <v>50.653305000000003</v>
      </c>
      <c r="Q133" s="27">
        <f t="shared" ref="Q133" si="887">P133/P132-1</f>
        <v>-1.9310880547932618E-2</v>
      </c>
      <c r="R133" s="258">
        <v>58.630001</v>
      </c>
      <c r="S133" s="27">
        <f t="shared" ref="S133" si="888">R133/R132-1</f>
        <v>-1.7049795652290811E-4</v>
      </c>
      <c r="T133" s="259">
        <v>3110.290039</v>
      </c>
      <c r="U133" s="27">
        <f t="shared" ref="U133" si="889">T133/T132-1</f>
        <v>-3.2591099155589998E-3</v>
      </c>
    </row>
    <row r="134" spans="1:21" x14ac:dyDescent="0.2">
      <c r="A134" s="223">
        <v>43794</v>
      </c>
      <c r="B134" s="1">
        <v>131.99943500000001</v>
      </c>
      <c r="C134" s="27">
        <f t="shared" si="513"/>
        <v>1.3127284568632325E-2</v>
      </c>
      <c r="D134" s="258">
        <v>51.652110999999998</v>
      </c>
      <c r="E134" s="27">
        <f t="shared" si="513"/>
        <v>6.977375926936924E-3</v>
      </c>
      <c r="F134" s="258">
        <v>45.237197999999999</v>
      </c>
      <c r="G134" s="27">
        <f t="shared" ref="G134" si="890">F134/F133-1</f>
        <v>-5.5520189841414824E-3</v>
      </c>
      <c r="H134" s="258">
        <v>28.346101999999998</v>
      </c>
      <c r="I134" s="27">
        <f t="shared" ref="I134" si="891">H134/H133-1</f>
        <v>4.8729391201129957E-3</v>
      </c>
      <c r="J134" s="258">
        <v>62.876392000000003</v>
      </c>
      <c r="K134" s="27">
        <f t="shared" ref="K134" si="892">J134/J133-1</f>
        <v>9.4559242127385534E-3</v>
      </c>
      <c r="L134" s="258">
        <v>30.257667999999999</v>
      </c>
      <c r="M134" s="27">
        <f t="shared" ref="M134" si="893">L134/L133-1</f>
        <v>2.1122049215801519E-2</v>
      </c>
      <c r="N134" s="258">
        <v>29.262550000000001</v>
      </c>
      <c r="O134" s="27">
        <f t="shared" ref="O134" si="894">N134/N133-1</f>
        <v>-1.3097196996435523E-3</v>
      </c>
      <c r="P134" s="258">
        <v>51.376925999999997</v>
      </c>
      <c r="Q134" s="27">
        <f t="shared" ref="Q134" si="895">P134/P133-1</f>
        <v>1.428576082054267E-2</v>
      </c>
      <c r="R134" s="258">
        <v>59.82</v>
      </c>
      <c r="S134" s="27">
        <f t="shared" ref="S134" si="896">R134/R133-1</f>
        <v>2.0296758992038866E-2</v>
      </c>
      <c r="T134" s="259">
        <v>3140.9799800000001</v>
      </c>
      <c r="U134" s="27">
        <f t="shared" ref="U134" si="897">T134/T133-1</f>
        <v>9.8672280125577938E-3</v>
      </c>
    </row>
    <row r="135" spans="1:21" x14ac:dyDescent="0.2">
      <c r="A135" s="223">
        <v>43801</v>
      </c>
      <c r="B135" s="1">
        <v>133.48629800000001</v>
      </c>
      <c r="C135" s="27">
        <f t="shared" si="513"/>
        <v>1.1264161850389698E-2</v>
      </c>
      <c r="D135" s="258">
        <v>53.031910000000003</v>
      </c>
      <c r="E135" s="27">
        <f t="shared" si="513"/>
        <v>2.6713312840205283E-2</v>
      </c>
      <c r="F135" s="258">
        <v>46.383423000000001</v>
      </c>
      <c r="G135" s="27">
        <f t="shared" ref="G135" si="898">F135/F134-1</f>
        <v>2.5338107811186728E-2</v>
      </c>
      <c r="H135" s="258">
        <v>28.375557000000001</v>
      </c>
      <c r="I135" s="27">
        <f t="shared" ref="I135" si="899">H135/H134-1</f>
        <v>1.0391199467214562E-3</v>
      </c>
      <c r="J135" s="258">
        <v>64.498833000000005</v>
      </c>
      <c r="K135" s="27">
        <f t="shared" ref="K135" si="900">J135/J134-1</f>
        <v>2.5803659344830088E-2</v>
      </c>
      <c r="L135" s="258">
        <v>28.64406</v>
      </c>
      <c r="M135" s="27">
        <f t="shared" ref="M135" si="901">L135/L134-1</f>
        <v>-5.3328895009357558E-2</v>
      </c>
      <c r="N135" s="258">
        <v>29.828613000000001</v>
      </c>
      <c r="O135" s="27">
        <f t="shared" ref="O135" si="902">N135/N134-1</f>
        <v>1.9344281342535075E-2</v>
      </c>
      <c r="P135" s="258">
        <v>52.648147999999999</v>
      </c>
      <c r="Q135" s="27">
        <f t="shared" ref="Q135" si="903">P135/P134-1</f>
        <v>2.4743052941703869E-2</v>
      </c>
      <c r="R135" s="258">
        <v>60.040000999999997</v>
      </c>
      <c r="S135" s="27">
        <f t="shared" ref="S135" si="904">R135/R134-1</f>
        <v>3.677716482781701E-3</v>
      </c>
      <c r="T135" s="259">
        <v>3145.9099120000001</v>
      </c>
      <c r="U135" s="27">
        <f t="shared" ref="U135" si="905">T135/T134-1</f>
        <v>1.5695521879766083E-3</v>
      </c>
    </row>
    <row r="136" spans="1:21" x14ac:dyDescent="0.2">
      <c r="A136" s="223">
        <v>43808</v>
      </c>
      <c r="B136" s="1">
        <v>134.98886100000001</v>
      </c>
      <c r="C136" s="27">
        <f t="shared" si="513"/>
        <v>1.1256308868495379E-2</v>
      </c>
      <c r="D136" s="258">
        <v>53.031910000000003</v>
      </c>
      <c r="E136" s="27">
        <f t="shared" si="513"/>
        <v>0</v>
      </c>
      <c r="F136" s="258">
        <v>46.490276000000001</v>
      </c>
      <c r="G136" s="27">
        <f t="shared" ref="G136" si="906">F136/F135-1</f>
        <v>2.3036894021384313E-3</v>
      </c>
      <c r="H136" s="258">
        <v>27.864992000000001</v>
      </c>
      <c r="I136" s="27">
        <f t="shared" ref="I136" si="907">H136/H135-1</f>
        <v>-1.799312697192168E-2</v>
      </c>
      <c r="J136" s="258">
        <v>64.528060999999994</v>
      </c>
      <c r="K136" s="27">
        <f t="shared" ref="K136" si="908">J136/J135-1</f>
        <v>4.5315548577429254E-4</v>
      </c>
      <c r="L136" s="258">
        <v>28.125745999999999</v>
      </c>
      <c r="M136" s="27">
        <f t="shared" ref="M136" si="909">L136/L135-1</f>
        <v>-1.8094990724080273E-2</v>
      </c>
      <c r="N136" s="258">
        <v>30.317920999999998</v>
      </c>
      <c r="O136" s="27">
        <f t="shared" ref="O136" si="910">N136/N135-1</f>
        <v>1.6403980969547538E-2</v>
      </c>
      <c r="P136" s="258">
        <v>52.061432000000003</v>
      </c>
      <c r="Q136" s="27">
        <f t="shared" ref="Q136" si="911">P136/P135-1</f>
        <v>-1.1144095704942902E-2</v>
      </c>
      <c r="R136" s="258">
        <v>62.209999000000003</v>
      </c>
      <c r="S136" s="27">
        <f t="shared" ref="S136" si="912">R136/R135-1</f>
        <v>3.6142537705820654E-2</v>
      </c>
      <c r="T136" s="259">
        <v>3168.8000489999999</v>
      </c>
      <c r="U136" s="27">
        <f t="shared" ref="U136" si="913">T136/T135-1</f>
        <v>7.276157817706741E-3</v>
      </c>
    </row>
    <row r="137" spans="1:21" x14ac:dyDescent="0.2">
      <c r="A137" s="223">
        <v>43815</v>
      </c>
      <c r="B137" s="1">
        <v>134.96928399999999</v>
      </c>
      <c r="C137" s="27">
        <f t="shared" si="513"/>
        <v>-1.4502678113581524E-4</v>
      </c>
      <c r="D137" s="258">
        <v>53.567886000000001</v>
      </c>
      <c r="E137" s="27">
        <f t="shared" si="513"/>
        <v>1.0106669739030627E-2</v>
      </c>
      <c r="F137" s="258">
        <v>47.762782999999999</v>
      </c>
      <c r="G137" s="27">
        <f t="shared" ref="G137" si="914">F137/F136-1</f>
        <v>2.7371465809323148E-2</v>
      </c>
      <c r="H137" s="258">
        <v>34.433590000000002</v>
      </c>
      <c r="I137" s="27">
        <f t="shared" ref="I137" si="915">H137/H136-1</f>
        <v>0.23572940555662103</v>
      </c>
      <c r="J137" s="258">
        <v>66.855934000000005</v>
      </c>
      <c r="K137" s="27">
        <f t="shared" ref="K137" si="916">J137/J136-1</f>
        <v>3.6075359524595285E-2</v>
      </c>
      <c r="L137" s="258">
        <v>28.233322000000001</v>
      </c>
      <c r="M137" s="27">
        <f t="shared" ref="M137" si="917">L137/L136-1</f>
        <v>3.8248229931394651E-3</v>
      </c>
      <c r="N137" s="258">
        <v>30.912766999999999</v>
      </c>
      <c r="O137" s="27">
        <f t="shared" ref="O137" si="918">N137/N136-1</f>
        <v>1.9620276733355091E-2</v>
      </c>
      <c r="P137" s="258">
        <v>54.173617999999998</v>
      </c>
      <c r="Q137" s="27">
        <f t="shared" ref="Q137" si="919">P137/P136-1</f>
        <v>4.0571031545962644E-2</v>
      </c>
      <c r="R137" s="258">
        <v>63.919998</v>
      </c>
      <c r="S137" s="27">
        <f t="shared" ref="S137" si="920">R137/R136-1</f>
        <v>2.7487526563052977E-2</v>
      </c>
      <c r="T137" s="259">
        <v>3221.219971</v>
      </c>
      <c r="U137" s="27">
        <f t="shared" ref="U137" si="921">T137/T136-1</f>
        <v>1.6542514891888738E-2</v>
      </c>
    </row>
    <row r="138" spans="1:21" x14ac:dyDescent="0.2">
      <c r="A138" s="223">
        <v>43822</v>
      </c>
      <c r="B138" s="1">
        <v>134.59742700000001</v>
      </c>
      <c r="C138" s="27">
        <f t="shared" si="513"/>
        <v>-2.7551231582437774E-3</v>
      </c>
      <c r="D138" s="258">
        <v>53.938194000000003</v>
      </c>
      <c r="E138" s="27">
        <f t="shared" si="513"/>
        <v>6.9128731344747507E-3</v>
      </c>
      <c r="F138" s="258">
        <v>48.044483</v>
      </c>
      <c r="G138" s="27">
        <f t="shared" ref="G138" si="922">F138/F137-1</f>
        <v>5.89789753247838E-3</v>
      </c>
      <c r="H138" s="258">
        <v>33.559742</v>
      </c>
      <c r="I138" s="27">
        <f t="shared" ref="I138" si="923">H138/H137-1</f>
        <v>-2.5377777919758038E-2</v>
      </c>
      <c r="J138" s="258">
        <v>67.362419000000003</v>
      </c>
      <c r="K138" s="27">
        <f t="shared" ref="K138" si="924">J138/J137-1</f>
        <v>7.5757673208185494E-3</v>
      </c>
      <c r="L138" s="258">
        <v>28.203980999999999</v>
      </c>
      <c r="M138" s="27">
        <f t="shared" ref="M138" si="925">L138/L137-1</f>
        <v>-1.0392330027618746E-3</v>
      </c>
      <c r="N138" s="258">
        <v>30.337111</v>
      </c>
      <c r="O138" s="27">
        <f t="shared" ref="O138" si="926">N138/N137-1</f>
        <v>-1.8621949953557926E-2</v>
      </c>
      <c r="P138" s="258">
        <v>54.056266999999998</v>
      </c>
      <c r="Q138" s="27">
        <f t="shared" ref="Q138" si="927">P138/P137-1</f>
        <v>-2.1662020062975795E-3</v>
      </c>
      <c r="R138" s="258">
        <v>63.57</v>
      </c>
      <c r="S138" s="27">
        <f t="shared" ref="S138" si="928">R138/R137-1</f>
        <v>-5.4755633753305055E-3</v>
      </c>
      <c r="T138" s="259">
        <v>3240.0200199999999</v>
      </c>
      <c r="U138" s="27">
        <f t="shared" ref="U138" si="929">T138/T137-1</f>
        <v>5.8363133127365963E-3</v>
      </c>
    </row>
    <row r="139" spans="1:21" x14ac:dyDescent="0.2">
      <c r="A139" s="223">
        <v>43829</v>
      </c>
      <c r="B139" s="1">
        <v>132.72830200000001</v>
      </c>
      <c r="C139" s="27">
        <f t="shared" si="513"/>
        <v>-1.3886781060086673E-2</v>
      </c>
      <c r="D139" s="258">
        <v>53.295025000000003</v>
      </c>
      <c r="E139" s="27">
        <f t="shared" si="513"/>
        <v>-1.1924184929143156E-2</v>
      </c>
      <c r="F139" s="258">
        <v>47.043964000000003</v>
      </c>
      <c r="G139" s="27">
        <f t="shared" ref="G139" si="930">F139/F138-1</f>
        <v>-2.0824846840374889E-2</v>
      </c>
      <c r="H139" s="258">
        <v>32.734985000000002</v>
      </c>
      <c r="I139" s="27">
        <f t="shared" ref="I139" si="931">H139/H138-1</f>
        <v>-2.4575784879395046E-2</v>
      </c>
      <c r="J139" s="258">
        <v>66.232567000000003</v>
      </c>
      <c r="K139" s="27">
        <f t="shared" ref="K139" si="932">J139/J138-1</f>
        <v>-1.6772734957751445E-2</v>
      </c>
      <c r="L139" s="258">
        <v>28.174643</v>
      </c>
      <c r="M139" s="27">
        <f t="shared" ref="M139" si="933">L139/L138-1</f>
        <v>-1.0402077635777163E-3</v>
      </c>
      <c r="N139" s="258">
        <v>29.972526999999999</v>
      </c>
      <c r="O139" s="27">
        <f t="shared" ref="O139" si="934">N139/N138-1</f>
        <v>-1.2017756074400143E-2</v>
      </c>
      <c r="P139" s="258">
        <v>53.039295000000003</v>
      </c>
      <c r="Q139" s="27">
        <f t="shared" ref="Q139" si="935">P139/P138-1</f>
        <v>-1.8813211796515628E-2</v>
      </c>
      <c r="R139" s="258">
        <v>63.279998999999997</v>
      </c>
      <c r="S139" s="27">
        <f t="shared" ref="S139" si="936">R139/R138-1</f>
        <v>-4.561915998112398E-3</v>
      </c>
      <c r="T139" s="259">
        <v>3234.8500979999999</v>
      </c>
      <c r="U139" s="27">
        <f t="shared" ref="U139" si="937">T139/T138-1</f>
        <v>-1.5956450787609766E-3</v>
      </c>
    </row>
    <row r="140" spans="1:21" x14ac:dyDescent="0.2">
      <c r="A140" s="223">
        <v>43836</v>
      </c>
      <c r="B140" s="1">
        <v>131.65181000000001</v>
      </c>
      <c r="C140" s="27">
        <f t="shared" si="513"/>
        <v>-8.11049326917479E-3</v>
      </c>
      <c r="D140" s="258">
        <v>54.113598000000003</v>
      </c>
      <c r="E140" s="27">
        <f t="shared" si="513"/>
        <v>1.535927602998588E-2</v>
      </c>
      <c r="F140" s="258">
        <v>46.363995000000003</v>
      </c>
      <c r="G140" s="27">
        <f t="shared" ref="G140" si="938">F140/F139-1</f>
        <v>-1.445390528740309E-2</v>
      </c>
      <c r="H140" s="258">
        <v>31.252388</v>
      </c>
      <c r="I140" s="27">
        <f t="shared" ref="I140" si="939">H140/H139-1</f>
        <v>-4.5290902073118477E-2</v>
      </c>
      <c r="J140" s="258">
        <v>67.469550999999996</v>
      </c>
      <c r="K140" s="27">
        <f t="shared" ref="K140" si="940">J140/J139-1</f>
        <v>1.8676371097016142E-2</v>
      </c>
      <c r="L140" s="258">
        <v>27.407157999999999</v>
      </c>
      <c r="M140" s="27">
        <f t="shared" ref="M140" si="941">L140/L139-1</f>
        <v>-2.7240274171353329E-2</v>
      </c>
      <c r="N140" s="258">
        <v>29.454436999999999</v>
      </c>
      <c r="O140" s="27">
        <f t="shared" ref="O140" si="942">N140/N139-1</f>
        <v>-1.7285496147855683E-2</v>
      </c>
      <c r="P140" s="258">
        <v>53.323985999999998</v>
      </c>
      <c r="Q140" s="27">
        <f t="shared" ref="Q140" si="943">P140/P139-1</f>
        <v>5.3675487202458072E-3</v>
      </c>
      <c r="R140" s="258">
        <v>65.339995999999999</v>
      </c>
      <c r="S140" s="27">
        <f t="shared" ref="S140" si="944">R140/R139-1</f>
        <v>3.2553682562479258E-2</v>
      </c>
      <c r="T140" s="259">
        <v>3265.3500979999999</v>
      </c>
      <c r="U140" s="27">
        <f t="shared" ref="U140" si="945">T140/T139-1</f>
        <v>9.4285667267417494E-3</v>
      </c>
    </row>
    <row r="141" spans="1:21" x14ac:dyDescent="0.2">
      <c r="A141" s="223">
        <v>43843</v>
      </c>
      <c r="B141" s="1">
        <v>138.23782299999999</v>
      </c>
      <c r="C141" s="27">
        <f t="shared" si="513"/>
        <v>5.0025996604224243E-2</v>
      </c>
      <c r="D141" s="258">
        <v>55.487636999999999</v>
      </c>
      <c r="E141" s="27">
        <f t="shared" si="513"/>
        <v>2.5391750886717857E-2</v>
      </c>
      <c r="F141" s="258">
        <v>46.984692000000003</v>
      </c>
      <c r="G141" s="27">
        <f t="shared" ref="G141" si="946">F141/F140-1</f>
        <v>1.338747879685509E-2</v>
      </c>
      <c r="H141" s="258">
        <v>32.725169999999999</v>
      </c>
      <c r="I141" s="27">
        <f t="shared" ref="I141" si="947">H141/H140-1</f>
        <v>4.7125422863686373E-2</v>
      </c>
      <c r="J141" s="258">
        <v>69.037704000000005</v>
      </c>
      <c r="K141" s="27">
        <f t="shared" ref="K141" si="948">J141/J140-1</f>
        <v>2.3242380848214284E-2</v>
      </c>
      <c r="L141" s="258">
        <v>27.200721999999999</v>
      </c>
      <c r="M141" s="27">
        <f t="shared" ref="M141" si="949">L141/L140-1</f>
        <v>-7.5321928672794636E-3</v>
      </c>
      <c r="N141" s="258">
        <v>29.771048</v>
      </c>
      <c r="O141" s="27">
        <f t="shared" ref="O141" si="950">N141/N140-1</f>
        <v>1.0749178468425713E-2</v>
      </c>
      <c r="P141" s="258">
        <v>54.218449</v>
      </c>
      <c r="Q141" s="27">
        <f t="shared" ref="Q141" si="951">P141/P140-1</f>
        <v>1.6774121124403685E-2</v>
      </c>
      <c r="R141" s="258">
        <v>67.309997999999993</v>
      </c>
      <c r="S141" s="27">
        <f t="shared" ref="S141" si="952">R141/R140-1</f>
        <v>3.0150017150291752E-2</v>
      </c>
      <c r="T141" s="259">
        <v>3329.6201169999999</v>
      </c>
      <c r="U141" s="27">
        <f t="shared" ref="U141" si="953">T141/T140-1</f>
        <v>1.9682428245401562E-2</v>
      </c>
    </row>
    <row r="142" spans="1:21" x14ac:dyDescent="0.2">
      <c r="A142" s="223">
        <v>43850</v>
      </c>
      <c r="B142" s="1">
        <v>139.86232000000001</v>
      </c>
      <c r="C142" s="27">
        <f t="shared" si="513"/>
        <v>1.1751465443723186E-2</v>
      </c>
      <c r="D142" s="258">
        <v>56.208754999999996</v>
      </c>
      <c r="E142" s="27">
        <f t="shared" si="513"/>
        <v>1.2996012066615714E-2</v>
      </c>
      <c r="F142" s="258">
        <v>47.738090999999997</v>
      </c>
      <c r="G142" s="27">
        <f t="shared" ref="G142" si="954">F142/F141-1</f>
        <v>1.6034988587346533E-2</v>
      </c>
      <c r="H142" s="258">
        <v>31.694220999999999</v>
      </c>
      <c r="I142" s="27">
        <f t="shared" ref="I142" si="955">H142/H141-1</f>
        <v>-3.1503243527841063E-2</v>
      </c>
      <c r="J142" s="258">
        <v>67.537734999999998</v>
      </c>
      <c r="K142" s="27">
        <f t="shared" ref="K142" si="956">J142/J141-1</f>
        <v>-2.1726808875335846E-2</v>
      </c>
      <c r="L142" s="258">
        <v>27.564447000000001</v>
      </c>
      <c r="M142" s="27">
        <f t="shared" ref="M142" si="957">L142/L141-1</f>
        <v>1.3371887702098517E-2</v>
      </c>
      <c r="N142" s="258">
        <v>29.176203000000001</v>
      </c>
      <c r="O142" s="27">
        <f t="shared" ref="O142" si="958">N142/N141-1</f>
        <v>-1.9980653687434846E-2</v>
      </c>
      <c r="P142" s="258">
        <v>54.149647000000002</v>
      </c>
      <c r="Q142" s="27">
        <f t="shared" ref="Q142" si="959">P142/P141-1</f>
        <v>-1.2689776500245387E-3</v>
      </c>
      <c r="R142" s="258">
        <v>67.099997999999999</v>
      </c>
      <c r="S142" s="27">
        <f t="shared" ref="S142" si="960">R142/R141-1</f>
        <v>-3.1198931249409867E-3</v>
      </c>
      <c r="T142" s="259">
        <v>3295.469971</v>
      </c>
      <c r="U142" s="27">
        <f t="shared" ref="U142" si="961">T142/T141-1</f>
        <v>-1.0256469146627256E-2</v>
      </c>
    </row>
    <row r="143" spans="1:21" x14ac:dyDescent="0.2">
      <c r="A143" s="223">
        <v>43857</v>
      </c>
      <c r="B143" s="1">
        <v>138.981583</v>
      </c>
      <c r="C143" s="27">
        <f t="shared" si="513"/>
        <v>-6.2971713896924353E-3</v>
      </c>
      <c r="D143" s="258">
        <v>56.910400000000003</v>
      </c>
      <c r="E143" s="27">
        <f t="shared" si="513"/>
        <v>1.2482841863336258E-2</v>
      </c>
      <c r="F143" s="258">
        <v>47.346713999999999</v>
      </c>
      <c r="G143" s="27">
        <f t="shared" ref="G143" si="962">F143/F142-1</f>
        <v>-8.1984216754708017E-3</v>
      </c>
      <c r="H143" s="258">
        <v>32.322605000000003</v>
      </c>
      <c r="I143" s="27">
        <f t="shared" ref="I143" si="963">H143/H142-1</f>
        <v>1.9826453535488398E-2</v>
      </c>
      <c r="J143" s="258">
        <v>66.437111000000002</v>
      </c>
      <c r="K143" s="27">
        <f t="shared" ref="K143" si="964">J143/J142-1</f>
        <v>-1.6296430432557352E-2</v>
      </c>
      <c r="L143" s="258">
        <v>28.046137000000002</v>
      </c>
      <c r="M143" s="27">
        <f t="shared" ref="M143" si="965">L143/L142-1</f>
        <v>1.7475046751346035E-2</v>
      </c>
      <c r="N143" s="258">
        <v>28.015297</v>
      </c>
      <c r="O143" s="27">
        <f t="shared" ref="O143" si="966">N143/N142-1</f>
        <v>-3.9789481859582643E-2</v>
      </c>
      <c r="P143" s="258">
        <v>56.400562000000001</v>
      </c>
      <c r="Q143" s="27">
        <f t="shared" ref="Q143" si="967">P143/P142-1</f>
        <v>4.1568415025863503E-2</v>
      </c>
      <c r="R143" s="258">
        <v>66.599997999999999</v>
      </c>
      <c r="S143" s="27">
        <f t="shared" ref="S143" si="968">R143/R142-1</f>
        <v>-7.4515650507173126E-3</v>
      </c>
      <c r="T143" s="259">
        <v>3225.5200199999999</v>
      </c>
      <c r="U143" s="27">
        <f t="shared" ref="U143" si="969">T143/T142-1</f>
        <v>-2.1226092671320584E-2</v>
      </c>
    </row>
    <row r="144" spans="1:21" x14ac:dyDescent="0.2">
      <c r="A144" s="223">
        <v>43864</v>
      </c>
      <c r="B144" s="1">
        <v>142.25990300000001</v>
      </c>
      <c r="C144" s="27">
        <f t="shared" si="513"/>
        <v>2.3588161317748213E-2</v>
      </c>
      <c r="D144" s="258">
        <v>57.680244000000002</v>
      </c>
      <c r="E144" s="27">
        <f t="shared" si="513"/>
        <v>1.3527299052545683E-2</v>
      </c>
      <c r="F144" s="258">
        <v>47.826149000000001</v>
      </c>
      <c r="G144" s="27">
        <f t="shared" ref="G144" si="970">F144/F143-1</f>
        <v>1.0126045917357773E-2</v>
      </c>
      <c r="H144" s="258">
        <v>31.572770999999999</v>
      </c>
      <c r="I144" s="27">
        <f t="shared" ref="I144" si="971">H144/H143-1</f>
        <v>-2.3198439605966237E-2</v>
      </c>
      <c r="J144" s="258">
        <v>62.502113000000001</v>
      </c>
      <c r="K144" s="27">
        <f t="shared" ref="K144" si="972">J144/J143-1</f>
        <v>-5.922891499601779E-2</v>
      </c>
      <c r="L144" s="258">
        <v>28.085459</v>
      </c>
      <c r="M144" s="27">
        <f t="shared" ref="M144" si="973">L144/L143-1</f>
        <v>1.4020469200446417E-3</v>
      </c>
      <c r="N144" s="258">
        <v>28.341501000000001</v>
      </c>
      <c r="O144" s="27">
        <f t="shared" ref="O144" si="974">N144/N143-1</f>
        <v>1.1643781609739889E-2</v>
      </c>
      <c r="P144" s="258">
        <v>57.658709999999999</v>
      </c>
      <c r="Q144" s="27">
        <f t="shared" ref="Q144" si="975">P144/P143-1</f>
        <v>2.230736636985986E-2</v>
      </c>
      <c r="R144" s="258">
        <v>68.910004000000001</v>
      </c>
      <c r="S144" s="27">
        <f t="shared" ref="S144" si="976">R144/R143-1</f>
        <v>3.4684775816359759E-2</v>
      </c>
      <c r="T144" s="259">
        <v>3327.709961</v>
      </c>
      <c r="U144" s="27">
        <f t="shared" ref="U144" si="977">T144/T143-1</f>
        <v>3.1681694848076036E-2</v>
      </c>
    </row>
    <row r="145" spans="1:21" x14ac:dyDescent="0.2">
      <c r="A145" s="223">
        <v>43871</v>
      </c>
      <c r="B145" s="1">
        <v>143.84524500000001</v>
      </c>
      <c r="C145" s="27">
        <f t="shared" si="513"/>
        <v>1.1143983417449599E-2</v>
      </c>
      <c r="D145" s="258">
        <v>58.420859999999998</v>
      </c>
      <c r="E145" s="27">
        <f t="shared" si="513"/>
        <v>1.2840028901403233E-2</v>
      </c>
      <c r="F145" s="258">
        <v>47.591327999999997</v>
      </c>
      <c r="G145" s="27">
        <f t="shared" ref="G145" si="978">F145/F144-1</f>
        <v>-4.9098872669008919E-3</v>
      </c>
      <c r="H145" s="258">
        <v>32.304031000000002</v>
      </c>
      <c r="I145" s="27">
        <f t="shared" ref="I145" si="979">H145/H144-1</f>
        <v>2.3161096629751077E-2</v>
      </c>
      <c r="J145" s="258">
        <v>65.950103999999996</v>
      </c>
      <c r="K145" s="27">
        <f t="shared" ref="K145" si="980">J145/J144-1</f>
        <v>5.5165990948177868E-2</v>
      </c>
      <c r="L145" s="258">
        <v>28.380371</v>
      </c>
      <c r="M145" s="27">
        <f t="shared" ref="M145" si="981">L145/L144-1</f>
        <v>1.0500522708210003E-2</v>
      </c>
      <c r="N145" s="258">
        <v>25.789418999999999</v>
      </c>
      <c r="O145" s="27">
        <f t="shared" ref="O145" si="982">N145/N144-1</f>
        <v>-9.0047524300142068E-2</v>
      </c>
      <c r="P145" s="258">
        <v>58.661301000000002</v>
      </c>
      <c r="Q145" s="27">
        <f t="shared" ref="Q145" si="983">P145/P144-1</f>
        <v>1.7388370291322897E-2</v>
      </c>
      <c r="R145" s="258">
        <v>69.860000999999997</v>
      </c>
      <c r="S145" s="27">
        <f t="shared" ref="S145" si="984">R145/R144-1</f>
        <v>1.3786053473455073E-2</v>
      </c>
      <c r="T145" s="259">
        <v>3380.1599120000001</v>
      </c>
      <c r="U145" s="27">
        <f t="shared" ref="U145" si="985">T145/T144-1</f>
        <v>1.5761575261877159E-2</v>
      </c>
    </row>
    <row r="146" spans="1:21" x14ac:dyDescent="0.2">
      <c r="A146" s="223">
        <v>43878</v>
      </c>
      <c r="B146" s="1">
        <v>142.729645</v>
      </c>
      <c r="C146" s="27">
        <f t="shared" si="513"/>
        <v>-7.7555570224097092E-3</v>
      </c>
      <c r="D146" s="258">
        <v>58.596268000000002</v>
      </c>
      <c r="E146" s="27">
        <f t="shared" si="513"/>
        <v>3.0024891793787312E-3</v>
      </c>
      <c r="F146" s="258">
        <v>46.925986999999999</v>
      </c>
      <c r="G146" s="27">
        <f t="shared" ref="G146" si="986">F146/F145-1</f>
        <v>-1.3980299099869531E-2</v>
      </c>
      <c r="H146" s="258">
        <v>29.240632999999999</v>
      </c>
      <c r="I146" s="27">
        <f t="shared" ref="I146" si="987">H146/H145-1</f>
        <v>-9.4830208651050518E-2</v>
      </c>
      <c r="J146" s="258">
        <v>63.817031999999998</v>
      </c>
      <c r="K146" s="27">
        <f t="shared" ref="K146" si="988">J146/J145-1</f>
        <v>-3.2343724583057454E-2</v>
      </c>
      <c r="L146" s="258">
        <v>28.999687000000002</v>
      </c>
      <c r="M146" s="27">
        <f t="shared" ref="M146" si="989">L146/L145-1</f>
        <v>2.1821983933895783E-2</v>
      </c>
      <c r="N146" s="258">
        <v>26.154005000000002</v>
      </c>
      <c r="O146" s="27">
        <f t="shared" ref="O146" si="990">N146/N145-1</f>
        <v>1.4137038139556468E-2</v>
      </c>
      <c r="P146" s="258">
        <v>57.747169</v>
      </c>
      <c r="Q146" s="27">
        <f t="shared" ref="Q146" si="991">P146/P145-1</f>
        <v>-1.5583220699452283E-2</v>
      </c>
      <c r="R146" s="258">
        <v>69.739998</v>
      </c>
      <c r="S146" s="27">
        <f t="shared" ref="S146" si="992">R146/R145-1</f>
        <v>-1.7177640750390966E-3</v>
      </c>
      <c r="T146" s="259">
        <v>3337.75</v>
      </c>
      <c r="U146" s="27">
        <f t="shared" ref="U146" si="993">T146/T145-1</f>
        <v>-1.2546717641801375E-2</v>
      </c>
    </row>
    <row r="147" spans="1:21" x14ac:dyDescent="0.2">
      <c r="A147" s="223">
        <v>43885</v>
      </c>
      <c r="B147" s="1">
        <v>129.205307</v>
      </c>
      <c r="C147" s="27">
        <f t="shared" si="513"/>
        <v>-9.4754933356696824E-2</v>
      </c>
      <c r="D147" s="258">
        <v>52.125636999999998</v>
      </c>
      <c r="E147" s="27">
        <f t="shared" si="513"/>
        <v>-0.11042735690948791</v>
      </c>
      <c r="F147" s="258">
        <v>44.147216999999998</v>
      </c>
      <c r="G147" s="27">
        <f t="shared" ref="G147" si="994">F147/F146-1</f>
        <v>-5.9216016063764476E-2</v>
      </c>
      <c r="H147" s="258">
        <v>26.374873999999998</v>
      </c>
      <c r="I147" s="27">
        <f t="shared" ref="I147" si="995">H147/H146-1</f>
        <v>-9.8006052057765025E-2</v>
      </c>
      <c r="J147" s="258">
        <v>58.898288999999998</v>
      </c>
      <c r="K147" s="27">
        <f t="shared" ref="K147" si="996">J147/J146-1</f>
        <v>-7.7075709193119457E-2</v>
      </c>
      <c r="L147" s="258">
        <v>27.407157999999999</v>
      </c>
      <c r="M147" s="27">
        <f t="shared" ref="M147" si="997">L147/L146-1</f>
        <v>-5.4915385810888284E-2</v>
      </c>
      <c r="N147" s="258">
        <v>23.765029999999999</v>
      </c>
      <c r="O147" s="27">
        <f t="shared" ref="O147" si="998">N147/N146-1</f>
        <v>-9.1342606992695807E-2</v>
      </c>
      <c r="P147" s="258">
        <v>51.898738999999999</v>
      </c>
      <c r="Q147" s="27">
        <f t="shared" ref="Q147" si="999">P147/P146-1</f>
        <v>-0.1012764798911614</v>
      </c>
      <c r="R147" s="258">
        <v>62.41</v>
      </c>
      <c r="S147" s="27">
        <f t="shared" ref="S147" si="1000">R147/R146-1</f>
        <v>-0.10510464884154436</v>
      </c>
      <c r="T147" s="259">
        <v>2954.219971</v>
      </c>
      <c r="U147" s="27">
        <f t="shared" ref="U147" si="1001">T147/T146-1</f>
        <v>-0.11490675724664823</v>
      </c>
    </row>
    <row r="148" spans="1:21" x14ac:dyDescent="0.2">
      <c r="A148" s="223">
        <v>43892</v>
      </c>
      <c r="B148" s="1">
        <v>134.32341</v>
      </c>
      <c r="C148" s="27">
        <f t="shared" si="513"/>
        <v>3.9612173205857415E-2</v>
      </c>
      <c r="D148" s="258">
        <v>53.850487000000001</v>
      </c>
      <c r="E148" s="27">
        <f t="shared" si="513"/>
        <v>3.3090243098611971E-2</v>
      </c>
      <c r="F148" s="258">
        <v>50.644053999999997</v>
      </c>
      <c r="G148" s="27">
        <f t="shared" ref="G148" si="1002">F148/F147-1</f>
        <v>0.14716300237000213</v>
      </c>
      <c r="H148" s="258">
        <v>27.916454000000002</v>
      </c>
      <c r="I148" s="27">
        <f t="shared" ref="I148" si="1003">H148/H147-1</f>
        <v>5.8448810030334197E-2</v>
      </c>
      <c r="J148" s="258">
        <v>61.547592000000002</v>
      </c>
      <c r="K148" s="27">
        <f t="shared" ref="K148" si="1004">J148/J147-1</f>
        <v>4.498098408257678E-2</v>
      </c>
      <c r="L148" s="258">
        <v>26.178360000000001</v>
      </c>
      <c r="M148" s="27">
        <f t="shared" ref="M148" si="1005">L148/L147-1</f>
        <v>-4.4834929619481101E-2</v>
      </c>
      <c r="N148" s="258">
        <v>24.973907000000001</v>
      </c>
      <c r="O148" s="27">
        <f t="shared" ref="O148" si="1006">N148/N147-1</f>
        <v>5.0867892866114595E-2</v>
      </c>
      <c r="P148" s="258">
        <v>54.709918999999999</v>
      </c>
      <c r="Q148" s="27">
        <f t="shared" ref="Q148" si="1007">P148/P147-1</f>
        <v>5.4166633990856639E-2</v>
      </c>
      <c r="R148" s="258">
        <v>66.190002000000007</v>
      </c>
      <c r="S148" s="27">
        <f t="shared" ref="S148" si="1008">R148/R147-1</f>
        <v>6.0567248838327314E-2</v>
      </c>
      <c r="T148" s="259">
        <v>2972.3701169999999</v>
      </c>
      <c r="U148" s="27">
        <f t="shared" ref="U148" si="1009">T148/T147-1</f>
        <v>6.1438031623135547E-3</v>
      </c>
    </row>
    <row r="149" spans="1:21" x14ac:dyDescent="0.2">
      <c r="A149" s="223">
        <v>43899</v>
      </c>
      <c r="B149" s="1">
        <v>125.56545300000001</v>
      </c>
      <c r="C149" s="27">
        <f t="shared" si="513"/>
        <v>-6.5200526103379786E-2</v>
      </c>
      <c r="D149" s="258">
        <v>47.233680999999997</v>
      </c>
      <c r="E149" s="27">
        <f t="shared" si="513"/>
        <v>-0.12287365200615552</v>
      </c>
      <c r="F149" s="258">
        <v>48.217525000000002</v>
      </c>
      <c r="G149" s="27">
        <f t="shared" ref="G149" si="1010">F149/F148-1</f>
        <v>-4.7913403614963324E-2</v>
      </c>
      <c r="H149" s="258">
        <v>24.497309000000001</v>
      </c>
      <c r="I149" s="27">
        <f t="shared" ref="I149" si="1011">H149/H148-1</f>
        <v>-0.12247776884557049</v>
      </c>
      <c r="J149" s="258">
        <v>62.595408999999997</v>
      </c>
      <c r="K149" s="27">
        <f t="shared" ref="K149" si="1012">J149/J148-1</f>
        <v>1.7024500324886782E-2</v>
      </c>
      <c r="L149" s="258">
        <v>23.071953000000001</v>
      </c>
      <c r="M149" s="27">
        <f t="shared" ref="M149" si="1013">L149/L148-1</f>
        <v>-0.11866316300944757</v>
      </c>
      <c r="N149" s="258">
        <v>22.997485999999999</v>
      </c>
      <c r="O149" s="27">
        <f t="shared" ref="O149" si="1014">N149/N148-1</f>
        <v>-7.9139439415707002E-2</v>
      </c>
      <c r="P149" s="258">
        <v>50.050826999999998</v>
      </c>
      <c r="Q149" s="27">
        <f t="shared" ref="Q149" si="1015">P149/P148-1</f>
        <v>-8.5159914055072949E-2</v>
      </c>
      <c r="R149" s="258">
        <v>62.389999000000003</v>
      </c>
      <c r="S149" s="27">
        <f t="shared" ref="S149" si="1016">R149/R148-1</f>
        <v>-5.7410528556865792E-2</v>
      </c>
      <c r="T149" s="259">
        <v>2711.0200199999999</v>
      </c>
      <c r="U149" s="27">
        <f t="shared" ref="U149" si="1017">T149/T148-1</f>
        <v>-8.7926498623186133E-2</v>
      </c>
    </row>
    <row r="150" spans="1:21" x14ac:dyDescent="0.2">
      <c r="A150" s="223">
        <v>43906</v>
      </c>
      <c r="B150" s="1">
        <v>102.39323400000001</v>
      </c>
      <c r="C150" s="27">
        <f t="shared" si="513"/>
        <v>-0.18454294908648161</v>
      </c>
      <c r="D150" s="258">
        <v>37.650410000000001</v>
      </c>
      <c r="E150" s="27">
        <f t="shared" si="513"/>
        <v>-0.202890623747914</v>
      </c>
      <c r="F150" s="258">
        <v>44.323338</v>
      </c>
      <c r="G150" s="27">
        <f t="shared" ref="G150" si="1018">F150/F149-1</f>
        <v>-8.0762896892779157E-2</v>
      </c>
      <c r="H150" s="258">
        <v>25.742429999999999</v>
      </c>
      <c r="I150" s="27">
        <f t="shared" ref="I150" si="1019">H150/H149-1</f>
        <v>5.0826847961137123E-2</v>
      </c>
      <c r="J150" s="258">
        <v>54.876685999999999</v>
      </c>
      <c r="K150" s="27">
        <f t="shared" ref="K150" si="1020">J150/J149-1</f>
        <v>-0.12331132783236542</v>
      </c>
      <c r="L150" s="258">
        <v>23.130935999999998</v>
      </c>
      <c r="M150" s="27">
        <f t="shared" ref="M150" si="1021">L150/L149-1</f>
        <v>2.5564805892244191E-3</v>
      </c>
      <c r="N150" s="258">
        <v>21.743653999999999</v>
      </c>
      <c r="O150" s="27">
        <f t="shared" ref="O150" si="1022">N150/N149-1</f>
        <v>-5.4520394098728886E-2</v>
      </c>
      <c r="P150" s="258">
        <v>42.580554999999997</v>
      </c>
      <c r="Q150" s="27">
        <f t="shared" ref="Q150" si="1023">P150/P149-1</f>
        <v>-0.14925371762588457</v>
      </c>
      <c r="R150" s="258">
        <v>52.099997999999999</v>
      </c>
      <c r="S150" s="27">
        <f t="shared" ref="S150" si="1024">R150/R149-1</f>
        <v>-0.16493029595977404</v>
      </c>
      <c r="T150" s="259">
        <v>2304.919922</v>
      </c>
      <c r="U150" s="27">
        <f t="shared" ref="U150" si="1025">T150/T149-1</f>
        <v>-0.14979605277868802</v>
      </c>
    </row>
    <row r="151" spans="1:21" x14ac:dyDescent="0.2">
      <c r="A151" s="223">
        <v>43913</v>
      </c>
      <c r="B151" s="1">
        <v>118.67881</v>
      </c>
      <c r="C151" s="27">
        <f t="shared" ref="C151:E178" si="1026">B151/B150-1</f>
        <v>0.15904933718569714</v>
      </c>
      <c r="D151" s="258">
        <v>42.083919999999999</v>
      </c>
      <c r="E151" s="27">
        <f t="shared" si="1026"/>
        <v>0.11775462737324771</v>
      </c>
      <c r="F151" s="258">
        <v>43.237267000000003</v>
      </c>
      <c r="G151" s="27">
        <f t="shared" ref="G151" si="1027">F151/F150-1</f>
        <v>-2.4503366601134502E-2</v>
      </c>
      <c r="H151" s="258">
        <v>27.590350999999998</v>
      </c>
      <c r="I151" s="27">
        <f t="shared" ref="I151" si="1028">H151/H150-1</f>
        <v>7.1785025733778873E-2</v>
      </c>
      <c r="J151" s="258">
        <v>58.475479</v>
      </c>
      <c r="K151" s="27">
        <f t="shared" ref="K151" si="1029">J151/J150-1</f>
        <v>6.557963430955005E-2</v>
      </c>
      <c r="L151" s="258">
        <v>23.966518000000001</v>
      </c>
      <c r="M151" s="27">
        <f t="shared" ref="M151" si="1030">L151/L150-1</f>
        <v>3.6124002937019117E-2</v>
      </c>
      <c r="N151" s="258">
        <v>23.656471</v>
      </c>
      <c r="O151" s="27">
        <f t="shared" ref="O151" si="1031">N151/N150-1</f>
        <v>8.797127658488324E-2</v>
      </c>
      <c r="P151" s="258">
        <v>47.072544000000001</v>
      </c>
      <c r="Q151" s="27">
        <f t="shared" ref="Q151" si="1032">P151/P150-1</f>
        <v>0.10549390443595685</v>
      </c>
      <c r="R151" s="258">
        <v>56.389999000000003</v>
      </c>
      <c r="S151" s="27">
        <f t="shared" ref="S151" si="1033">R151/R150-1</f>
        <v>8.234167302655182E-2</v>
      </c>
      <c r="T151" s="259">
        <v>2541.469971</v>
      </c>
      <c r="U151" s="27">
        <f t="shared" ref="U151" si="1034">T151/T150-1</f>
        <v>0.10262831551854656</v>
      </c>
    </row>
    <row r="152" spans="1:21" x14ac:dyDescent="0.2">
      <c r="A152" s="223">
        <v>43920</v>
      </c>
      <c r="B152" s="1">
        <v>122.747742</v>
      </c>
      <c r="C152" s="27">
        <f t="shared" si="1026"/>
        <v>3.4285244349854915E-2</v>
      </c>
      <c r="D152" s="258">
        <v>43.086620000000003</v>
      </c>
      <c r="E152" s="27">
        <f t="shared" si="1026"/>
        <v>2.3826202502048366E-2</v>
      </c>
      <c r="F152" s="258">
        <v>48.462135000000004</v>
      </c>
      <c r="G152" s="27">
        <f t="shared" ref="G152" si="1035">F152/F151-1</f>
        <v>0.12084177290854203</v>
      </c>
      <c r="H152" s="258">
        <v>30.841507</v>
      </c>
      <c r="I152" s="27">
        <f t="shared" ref="I152" si="1036">H152/H151-1</f>
        <v>0.11783670312856853</v>
      </c>
      <c r="J152" s="258">
        <v>62.516750000000002</v>
      </c>
      <c r="K152" s="27">
        <f t="shared" ref="K152" si="1037">J152/J151-1</f>
        <v>6.9110524088225045E-2</v>
      </c>
      <c r="L152" s="258">
        <v>23.396356999999998</v>
      </c>
      <c r="M152" s="27">
        <f t="shared" ref="M152" si="1038">L152/L151-1</f>
        <v>-2.3789897222450174E-2</v>
      </c>
      <c r="N152" s="258">
        <v>24.710474000000001</v>
      </c>
      <c r="O152" s="27">
        <f t="shared" ref="O152" si="1039">N152/N151-1</f>
        <v>4.4554532246166456E-2</v>
      </c>
      <c r="P152" s="258">
        <v>49.923050000000003</v>
      </c>
      <c r="Q152" s="27">
        <f t="shared" ref="Q152" si="1040">P152/P151-1</f>
        <v>6.0555596910164988E-2</v>
      </c>
      <c r="R152" s="258">
        <v>54.220001000000003</v>
      </c>
      <c r="S152" s="27">
        <f t="shared" ref="S152" si="1041">R152/R151-1</f>
        <v>-3.8481965569816756E-2</v>
      </c>
      <c r="T152" s="259">
        <v>2488.6499020000001</v>
      </c>
      <c r="U152" s="27">
        <f t="shared" ref="U152" si="1042">T152/T151-1</f>
        <v>-2.0783274877419267E-2</v>
      </c>
    </row>
    <row r="153" spans="1:21" x14ac:dyDescent="0.2">
      <c r="A153" s="223">
        <v>43927</v>
      </c>
      <c r="B153" s="1">
        <v>131.654068</v>
      </c>
      <c r="C153" s="27">
        <f t="shared" si="1026"/>
        <v>7.2557962003080956E-2</v>
      </c>
      <c r="D153" s="258">
        <v>48.168934</v>
      </c>
      <c r="E153" s="27">
        <f t="shared" si="1026"/>
        <v>0.11795573660686309</v>
      </c>
      <c r="F153" s="258">
        <v>46.720511999999999</v>
      </c>
      <c r="G153" s="27">
        <f t="shared" ref="G153" si="1043">F153/F152-1</f>
        <v>-3.5937810003624615E-2</v>
      </c>
      <c r="H153" s="258">
        <v>32.076748000000002</v>
      </c>
      <c r="I153" s="27">
        <f t="shared" ref="I153" si="1044">H153/H152-1</f>
        <v>4.005125300783785E-2</v>
      </c>
      <c r="J153" s="258">
        <v>61.690795999999999</v>
      </c>
      <c r="K153" s="27">
        <f t="shared" ref="K153" si="1045">J153/J152-1</f>
        <v>-1.3211723258166885E-2</v>
      </c>
      <c r="L153" s="258">
        <v>26.572925999999999</v>
      </c>
      <c r="M153" s="27">
        <f t="shared" ref="M153" si="1046">L153/L152-1</f>
        <v>0.13577194945349835</v>
      </c>
      <c r="N153" s="258">
        <v>27.433309999999999</v>
      </c>
      <c r="O153" s="27">
        <f t="shared" ref="O153" si="1047">N153/N152-1</f>
        <v>0.1101895495812828</v>
      </c>
      <c r="P153" s="258">
        <v>51.754589000000003</v>
      </c>
      <c r="Q153" s="27">
        <f t="shared" ref="Q153" si="1048">P153/P152-1</f>
        <v>3.668724166492221E-2</v>
      </c>
      <c r="R153" s="258">
        <v>60.509998000000003</v>
      </c>
      <c r="S153" s="27">
        <f t="shared" ref="S153" si="1049">R153/R152-1</f>
        <v>0.11600879535210629</v>
      </c>
      <c r="T153" s="259">
        <v>2789.820068</v>
      </c>
      <c r="U153" s="27">
        <f t="shared" ref="U153" si="1050">T153/T152-1</f>
        <v>0.12101749055098709</v>
      </c>
    </row>
    <row r="154" spans="1:21" x14ac:dyDescent="0.2">
      <c r="A154" s="223">
        <v>43934</v>
      </c>
      <c r="B154" s="1">
        <v>135.51611299999999</v>
      </c>
      <c r="C154" s="27">
        <f t="shared" si="1026"/>
        <v>2.9334794273124798E-2</v>
      </c>
      <c r="D154" s="258">
        <v>47.244877000000002</v>
      </c>
      <c r="E154" s="27">
        <f t="shared" si="1026"/>
        <v>-1.9183671367940081E-2</v>
      </c>
      <c r="F154" s="258">
        <v>49.626286</v>
      </c>
      <c r="G154" s="27">
        <f t="shared" ref="G154" si="1051">F154/F153-1</f>
        <v>6.2194823549878819E-2</v>
      </c>
      <c r="H154" s="258">
        <v>33.183525000000003</v>
      </c>
      <c r="I154" s="27">
        <f t="shared" ref="I154" si="1052">H154/H153-1</f>
        <v>3.450402765267846E-2</v>
      </c>
      <c r="J154" s="258">
        <v>63.932659000000001</v>
      </c>
      <c r="K154" s="27">
        <f t="shared" ref="K154" si="1053">J154/J153-1</f>
        <v>3.6340315660702505E-2</v>
      </c>
      <c r="L154" s="258">
        <v>25.870514</v>
      </c>
      <c r="M154" s="27">
        <f t="shared" ref="M154" si="1054">L154/L153-1</f>
        <v>-2.6433370566718906E-2</v>
      </c>
      <c r="N154" s="258">
        <v>28.623940000000001</v>
      </c>
      <c r="O154" s="27">
        <f t="shared" ref="O154" si="1055">N154/N153-1</f>
        <v>4.3400887461265247E-2</v>
      </c>
      <c r="P154" s="258">
        <v>52.881839999999997</v>
      </c>
      <c r="Q154" s="27">
        <f t="shared" ref="Q154" si="1056">P154/P153-1</f>
        <v>2.1780696587117898E-2</v>
      </c>
      <c r="R154" s="258">
        <v>62.189999</v>
      </c>
      <c r="S154" s="27">
        <f t="shared" ref="S154" si="1057">R154/R153-1</f>
        <v>2.7764023393290982E-2</v>
      </c>
      <c r="T154" s="259">
        <v>2874.5600589999999</v>
      </c>
      <c r="U154" s="27">
        <f t="shared" ref="U154" si="1058">T154/T153-1</f>
        <v>3.0374715549576381E-2</v>
      </c>
    </row>
    <row r="155" spans="1:21" x14ac:dyDescent="0.2">
      <c r="A155" s="223">
        <v>43941</v>
      </c>
      <c r="B155" s="1">
        <v>132.373276</v>
      </c>
      <c r="C155" s="27">
        <f t="shared" si="1026"/>
        <v>-2.3191611170252369E-2</v>
      </c>
      <c r="D155" s="258">
        <v>44.659481</v>
      </c>
      <c r="E155" s="27">
        <f t="shared" si="1026"/>
        <v>-5.47233089420468E-2</v>
      </c>
      <c r="F155" s="258">
        <v>50.030472000000003</v>
      </c>
      <c r="G155" s="27">
        <f t="shared" ref="G155" si="1059">F155/F154-1</f>
        <v>8.1445949833924836E-3</v>
      </c>
      <c r="H155" s="258">
        <v>33.776443</v>
      </c>
      <c r="I155" s="27">
        <f t="shared" ref="I155" si="1060">H155/H154-1</f>
        <v>1.7867842551386515E-2</v>
      </c>
      <c r="J155" s="258">
        <v>63.028049000000003</v>
      </c>
      <c r="K155" s="27">
        <f t="shared" ref="K155" si="1061">J155/J154-1</f>
        <v>-1.4149419313218226E-2</v>
      </c>
      <c r="L155" s="258">
        <v>26.00902</v>
      </c>
      <c r="M155" s="27">
        <f t="shared" ref="M155" si="1062">L155/L154-1</f>
        <v>5.353817090762103E-3</v>
      </c>
      <c r="N155" s="258">
        <v>28.526347999999999</v>
      </c>
      <c r="O155" s="27">
        <f t="shared" ref="O155" si="1063">N155/N154-1</f>
        <v>-3.4094537649255185E-3</v>
      </c>
      <c r="P155" s="258">
        <v>50.834991000000002</v>
      </c>
      <c r="Q155" s="27">
        <f t="shared" ref="Q155" si="1064">P155/P154-1</f>
        <v>-3.8706085113528466E-2</v>
      </c>
      <c r="R155" s="258">
        <v>59.799999</v>
      </c>
      <c r="S155" s="27">
        <f t="shared" ref="S155" si="1065">R155/R154-1</f>
        <v>-3.8430616472593937E-2</v>
      </c>
      <c r="T155" s="259">
        <v>2836.73999</v>
      </c>
      <c r="U155" s="27">
        <f t="shared" ref="U155" si="1066">T155/T154-1</f>
        <v>-1.3156819904175721E-2</v>
      </c>
    </row>
    <row r="156" spans="1:21" x14ac:dyDescent="0.2">
      <c r="A156" s="223">
        <v>43948</v>
      </c>
      <c r="B156" s="1">
        <v>128.21566799999999</v>
      </c>
      <c r="C156" s="27">
        <f t="shared" si="1026"/>
        <v>-3.1408212636514388E-2</v>
      </c>
      <c r="D156" s="258">
        <v>44.826594999999998</v>
      </c>
      <c r="E156" s="27">
        <f t="shared" si="1026"/>
        <v>3.7419601898194266E-3</v>
      </c>
      <c r="F156" s="258">
        <v>49.695296999999997</v>
      </c>
      <c r="G156" s="27">
        <f t="shared" ref="G156" si="1067">F156/F155-1</f>
        <v>-6.6994171072383146E-3</v>
      </c>
      <c r="H156" s="258">
        <v>32.887065999999997</v>
      </c>
      <c r="I156" s="27">
        <f t="shared" ref="I156" si="1068">H156/H155-1</f>
        <v>-2.6331280650245037E-2</v>
      </c>
      <c r="J156" s="258">
        <v>63.775345000000002</v>
      </c>
      <c r="K156" s="27">
        <f t="shared" ref="K156" si="1069">J156/J155-1</f>
        <v>1.1856562464752862E-2</v>
      </c>
      <c r="L156" s="258">
        <v>25.623186</v>
      </c>
      <c r="M156" s="27">
        <f t="shared" ref="M156" si="1070">L156/L155-1</f>
        <v>-1.4834622757797122E-2</v>
      </c>
      <c r="N156" s="258">
        <v>28.672734999999999</v>
      </c>
      <c r="O156" s="27">
        <f t="shared" ref="O156" si="1071">N156/N155-1</f>
        <v>5.1316418070761483E-3</v>
      </c>
      <c r="P156" s="258">
        <v>50.132930999999999</v>
      </c>
      <c r="Q156" s="27">
        <f t="shared" ref="Q156" si="1072">P156/P155-1</f>
        <v>-1.3810566033148342E-2</v>
      </c>
      <c r="R156" s="258">
        <v>59.52</v>
      </c>
      <c r="S156" s="27">
        <f t="shared" ref="S156" si="1073">R156/R155-1</f>
        <v>-4.682257603382145E-3</v>
      </c>
      <c r="T156" s="259">
        <v>2830.709961</v>
      </c>
      <c r="U156" s="27">
        <f t="shared" ref="U156" si="1074">T156/T155-1</f>
        <v>-2.1256897076421533E-3</v>
      </c>
    </row>
    <row r="157" spans="1:21" x14ac:dyDescent="0.2">
      <c r="A157" s="223">
        <v>43955</v>
      </c>
      <c r="B157" s="1">
        <v>132.24520899999999</v>
      </c>
      <c r="C157" s="27">
        <f t="shared" si="1026"/>
        <v>3.1427836105022644E-2</v>
      </c>
      <c r="D157" s="258">
        <v>45.327945999999997</v>
      </c>
      <c r="E157" s="27">
        <f t="shared" si="1026"/>
        <v>1.1184231146710966E-2</v>
      </c>
      <c r="F157" s="258">
        <v>50.533240999999997</v>
      </c>
      <c r="G157" s="27">
        <f t="shared" ref="G157" si="1075">F157/F156-1</f>
        <v>1.6861635820387688E-2</v>
      </c>
      <c r="H157" s="258">
        <v>33.329352999999998</v>
      </c>
      <c r="I157" s="27">
        <f t="shared" ref="I157" si="1076">H157/H156-1</f>
        <v>1.3448660941660195E-2</v>
      </c>
      <c r="J157" s="258">
        <v>62.615074</v>
      </c>
      <c r="K157" s="27">
        <f t="shared" ref="K157" si="1077">J157/J156-1</f>
        <v>-1.8193096407396969E-2</v>
      </c>
      <c r="L157" s="258">
        <v>26.058482999999999</v>
      </c>
      <c r="M157" s="27">
        <f t="shared" ref="M157" si="1078">L157/L156-1</f>
        <v>1.6988402613164366E-2</v>
      </c>
      <c r="N157" s="258">
        <v>28.848403999999999</v>
      </c>
      <c r="O157" s="27">
        <f t="shared" ref="O157" si="1079">N157/N156-1</f>
        <v>6.1266914370043946E-3</v>
      </c>
      <c r="P157" s="258">
        <v>50.3307</v>
      </c>
      <c r="Q157" s="27">
        <f t="shared" ref="Q157" si="1080">P157/P156-1</f>
        <v>3.9448920311482283E-3</v>
      </c>
      <c r="R157" s="258">
        <v>65.779999000000004</v>
      </c>
      <c r="S157" s="27">
        <f t="shared" ref="S157" si="1081">R157/R156-1</f>
        <v>0.10517471438172032</v>
      </c>
      <c r="T157" s="259">
        <v>2929.8000489999999</v>
      </c>
      <c r="U157" s="27">
        <f t="shared" ref="U157" si="1082">T157/T156-1</f>
        <v>3.5005383584051364E-2</v>
      </c>
    </row>
    <row r="158" spans="1:21" x14ac:dyDescent="0.2">
      <c r="A158" s="223">
        <v>43962</v>
      </c>
      <c r="B158" s="1">
        <v>133.939774</v>
      </c>
      <c r="C158" s="27">
        <f t="shared" si="1026"/>
        <v>1.2813810139617354E-2</v>
      </c>
      <c r="D158" s="258">
        <v>42.526287000000004</v>
      </c>
      <c r="E158" s="27">
        <f t="shared" si="1026"/>
        <v>-6.1808646701087988E-2</v>
      </c>
      <c r="F158" s="258">
        <v>52.771056999999999</v>
      </c>
      <c r="G158" s="27">
        <f t="shared" ref="G158" si="1083">F158/F157-1</f>
        <v>4.4284038698408468E-2</v>
      </c>
      <c r="H158" s="258">
        <v>33.975655000000003</v>
      </c>
      <c r="I158" s="27">
        <f t="shared" ref="I158" si="1084">H158/H157-1</f>
        <v>1.9391375524151488E-2</v>
      </c>
      <c r="J158" s="258">
        <v>62.998553999999999</v>
      </c>
      <c r="K158" s="27">
        <f t="shared" ref="K158" si="1085">J158/J157-1</f>
        <v>6.1244038456298444E-3</v>
      </c>
      <c r="L158" s="258">
        <v>26.018909000000001</v>
      </c>
      <c r="M158" s="27">
        <f t="shared" ref="M158" si="1086">L158/L157-1</f>
        <v>-1.5186609289573605E-3</v>
      </c>
      <c r="N158" s="258">
        <v>28.497070000000001</v>
      </c>
      <c r="O158" s="27">
        <f t="shared" ref="O158" si="1087">N158/N157-1</f>
        <v>-1.2178628668677693E-2</v>
      </c>
      <c r="P158" s="258">
        <v>49.401206999999999</v>
      </c>
      <c r="Q158" s="27">
        <f t="shared" ref="Q158" si="1088">P158/P157-1</f>
        <v>-1.8467714536058555E-2</v>
      </c>
      <c r="R158" s="258">
        <v>66.010002</v>
      </c>
      <c r="S158" s="27">
        <f t="shared" ref="S158" si="1089">R158/R157-1</f>
        <v>3.496549156225992E-3</v>
      </c>
      <c r="T158" s="259">
        <v>2863.6999510000001</v>
      </c>
      <c r="U158" s="27">
        <f t="shared" ref="U158" si="1090">T158/T157-1</f>
        <v>-2.2561300052732713E-2</v>
      </c>
    </row>
    <row r="159" spans="1:21" x14ac:dyDescent="0.2">
      <c r="A159" s="223">
        <v>43969</v>
      </c>
      <c r="B159" s="1">
        <v>128.55064400000001</v>
      </c>
      <c r="C159" s="27">
        <f t="shared" si="1026"/>
        <v>-4.0235471802423595E-2</v>
      </c>
      <c r="D159" s="258">
        <v>44.266261999999998</v>
      </c>
      <c r="E159" s="27">
        <f t="shared" si="1026"/>
        <v>4.0915281411706417E-2</v>
      </c>
      <c r="F159" s="258">
        <v>47.664496999999997</v>
      </c>
      <c r="G159" s="27">
        <f t="shared" ref="G159" si="1091">F159/F158-1</f>
        <v>-9.6768196248182115E-2</v>
      </c>
      <c r="H159" s="258">
        <v>32.494129000000001</v>
      </c>
      <c r="I159" s="27">
        <f t="shared" ref="I159" si="1092">H159/H158-1</f>
        <v>-4.3605516950298795E-2</v>
      </c>
      <c r="J159" s="258">
        <v>61.051662</v>
      </c>
      <c r="K159" s="27">
        <f t="shared" ref="K159" si="1093">J159/J158-1</f>
        <v>-3.0903756933849613E-2</v>
      </c>
      <c r="L159" s="258">
        <v>26.869720000000001</v>
      </c>
      <c r="M159" s="27">
        <f t="shared" ref="M159" si="1094">L159/L158-1</f>
        <v>3.2699718500879493E-2</v>
      </c>
      <c r="N159" s="258">
        <v>29.229015</v>
      </c>
      <c r="O159" s="27">
        <f t="shared" ref="O159" si="1095">N159/N158-1</f>
        <v>2.5684921291908136E-2</v>
      </c>
      <c r="P159" s="258">
        <v>49.144119000000003</v>
      </c>
      <c r="Q159" s="27">
        <f t="shared" ref="Q159" si="1096">P159/P158-1</f>
        <v>-5.2040833739142034E-3</v>
      </c>
      <c r="R159" s="258">
        <v>68.709998999999996</v>
      </c>
      <c r="S159" s="27">
        <f t="shared" ref="S159" si="1097">R159/R158-1</f>
        <v>4.0902846814032667E-2</v>
      </c>
      <c r="T159" s="259">
        <v>2955.4499510000001</v>
      </c>
      <c r="U159" s="27">
        <f t="shared" ref="U159" si="1098">T159/T158-1</f>
        <v>3.2038971110769143E-2</v>
      </c>
    </row>
    <row r="160" spans="1:21" x14ac:dyDescent="0.2">
      <c r="A160" s="223">
        <v>43976</v>
      </c>
      <c r="B160" s="1">
        <v>129.60484299999999</v>
      </c>
      <c r="C160" s="27">
        <f t="shared" si="1026"/>
        <v>8.2006512546135557E-3</v>
      </c>
      <c r="D160" s="258">
        <v>45.888278999999997</v>
      </c>
      <c r="E160" s="27">
        <f t="shared" si="1026"/>
        <v>3.6642285269083752E-2</v>
      </c>
      <c r="F160" s="258">
        <v>50.257213999999998</v>
      </c>
      <c r="G160" s="27">
        <f t="shared" ref="G160" si="1099">F160/F159-1</f>
        <v>5.4395140265510511E-2</v>
      </c>
      <c r="H160" s="258">
        <v>34.592129</v>
      </c>
      <c r="I160" s="27">
        <f t="shared" ref="I160" si="1100">H160/H159-1</f>
        <v>6.4565509664838094E-2</v>
      </c>
      <c r="J160" s="258">
        <v>64.217811999999995</v>
      </c>
      <c r="K160" s="27">
        <f t="shared" ref="K160" si="1101">J160/J159-1</f>
        <v>5.1860177041535671E-2</v>
      </c>
      <c r="L160" s="258">
        <v>27.621597000000001</v>
      </c>
      <c r="M160" s="27">
        <f t="shared" ref="M160" si="1102">L160/L159-1</f>
        <v>2.7982316153648101E-2</v>
      </c>
      <c r="N160" s="258">
        <v>29.736495999999999</v>
      </c>
      <c r="O160" s="27">
        <f t="shared" ref="O160" si="1103">N160/N159-1</f>
        <v>1.736223406775772E-2</v>
      </c>
      <c r="P160" s="258">
        <v>51.537047999999999</v>
      </c>
      <c r="Q160" s="27">
        <f t="shared" ref="Q160" si="1104">P160/P159-1</f>
        <v>4.8692072392222396E-2</v>
      </c>
      <c r="R160" s="258">
        <v>71.910004000000001</v>
      </c>
      <c r="S160" s="27">
        <f t="shared" ref="S160" si="1105">R160/R159-1</f>
        <v>4.657262475000179E-2</v>
      </c>
      <c r="T160" s="259">
        <v>3044.3100589999999</v>
      </c>
      <c r="U160" s="27">
        <f t="shared" ref="U160" si="1106">T160/T159-1</f>
        <v>3.0066524378101311E-2</v>
      </c>
    </row>
    <row r="161" spans="1:21" x14ac:dyDescent="0.2">
      <c r="A161" s="223">
        <v>43983</v>
      </c>
      <c r="B161" s="1">
        <v>130.481674</v>
      </c>
      <c r="C161" s="27">
        <f t="shared" si="1026"/>
        <v>6.7654184805425732E-3</v>
      </c>
      <c r="D161" s="258">
        <v>48.257404000000001</v>
      </c>
      <c r="E161" s="27">
        <f t="shared" si="1026"/>
        <v>5.1628107473806306E-2</v>
      </c>
      <c r="F161" s="258">
        <v>47.49691</v>
      </c>
      <c r="G161" s="27">
        <f t="shared" ref="G161" si="1107">F161/F160-1</f>
        <v>-5.4923537942234479E-2</v>
      </c>
      <c r="H161" s="258">
        <v>33.229919000000002</v>
      </c>
      <c r="I161" s="27">
        <f t="shared" ref="I161" si="1108">H161/H160-1</f>
        <v>-3.9379189410400195E-2</v>
      </c>
      <c r="J161" s="258">
        <v>65.089759999999998</v>
      </c>
      <c r="K161" s="27">
        <f t="shared" ref="K161" si="1109">J161/J160-1</f>
        <v>1.3577977399790608E-2</v>
      </c>
      <c r="L161" s="258">
        <v>28.383368000000001</v>
      </c>
      <c r="M161" s="27">
        <f t="shared" ref="M161" si="1110">L161/L160-1</f>
        <v>2.7578818125541416E-2</v>
      </c>
      <c r="N161" s="258">
        <v>32.250473</v>
      </c>
      <c r="O161" s="27">
        <f t="shared" ref="O161" si="1111">N161/N160-1</f>
        <v>8.4541803445839836E-2</v>
      </c>
      <c r="P161" s="258">
        <v>51.942462999999996</v>
      </c>
      <c r="Q161" s="27">
        <f t="shared" ref="Q161" si="1112">P161/P160-1</f>
        <v>7.8664769468363982E-3</v>
      </c>
      <c r="R161" s="258">
        <v>72.230002999999996</v>
      </c>
      <c r="S161" s="27">
        <f t="shared" ref="S161" si="1113">R161/R160-1</f>
        <v>4.4499927993328914E-3</v>
      </c>
      <c r="T161" s="259">
        <v>3193.929932</v>
      </c>
      <c r="U161" s="27">
        <f t="shared" ref="U161" si="1114">T161/T160-1</f>
        <v>4.9147383183810067E-2</v>
      </c>
    </row>
    <row r="162" spans="1:21" x14ac:dyDescent="0.2">
      <c r="A162" s="223">
        <v>43990</v>
      </c>
      <c r="B162" s="1">
        <v>128.079025</v>
      </c>
      <c r="C162" s="27">
        <f t="shared" si="1026"/>
        <v>-1.8413689266432942E-2</v>
      </c>
      <c r="D162" s="258">
        <v>44.826594999999998</v>
      </c>
      <c r="E162" s="27">
        <f t="shared" si="1026"/>
        <v>-7.1093940320536175E-2</v>
      </c>
      <c r="F162" s="258">
        <v>46.402648999999997</v>
      </c>
      <c r="G162" s="27">
        <f t="shared" ref="G162" si="1115">F162/F161-1</f>
        <v>-2.3038572403973334E-2</v>
      </c>
      <c r="H162" s="258">
        <v>32.225665999999997</v>
      </c>
      <c r="I162" s="27">
        <f t="shared" ref="I162" si="1116">H162/H161-1</f>
        <v>-3.0221349621707083E-2</v>
      </c>
      <c r="J162" s="258">
        <v>63.076157000000002</v>
      </c>
      <c r="K162" s="27">
        <f t="shared" ref="K162" si="1117">J162/J161-1</f>
        <v>-3.0935787749102106E-2</v>
      </c>
      <c r="L162" s="258">
        <v>27.819459999999999</v>
      </c>
      <c r="M162" s="27">
        <f t="shared" ref="M162" si="1118">L162/L161-1</f>
        <v>-1.9867550602169604E-2</v>
      </c>
      <c r="N162" s="258">
        <v>31.439762000000002</v>
      </c>
      <c r="O162" s="27">
        <f t="shared" ref="O162" si="1119">N162/N161-1</f>
        <v>-2.5137956891360891E-2</v>
      </c>
      <c r="P162" s="258">
        <v>50.162598000000003</v>
      </c>
      <c r="Q162" s="27">
        <f t="shared" ref="Q162" si="1120">P162/P161-1</f>
        <v>-3.4266087844159299E-2</v>
      </c>
      <c r="R162" s="258">
        <v>68.300003000000004</v>
      </c>
      <c r="S162" s="27">
        <f t="shared" ref="S162" si="1121">R162/R161-1</f>
        <v>-5.4409522868218541E-2</v>
      </c>
      <c r="T162" s="259">
        <v>3041.3100589999999</v>
      </c>
      <c r="U162" s="27">
        <f t="shared" ref="U162" si="1122">T162/T161-1</f>
        <v>-4.7784352271131869E-2</v>
      </c>
    </row>
    <row r="163" spans="1:21" x14ac:dyDescent="0.2">
      <c r="A163" s="223">
        <v>43997</v>
      </c>
      <c r="B163" s="1">
        <v>130.34274300000001</v>
      </c>
      <c r="C163" s="27">
        <f t="shared" si="1026"/>
        <v>1.7674385013471294E-2</v>
      </c>
      <c r="D163" s="258">
        <v>45.650471000000003</v>
      </c>
      <c r="E163" s="27">
        <f t="shared" si="1026"/>
        <v>1.8379178699609033E-2</v>
      </c>
      <c r="F163" s="258">
        <v>48.443297999999999</v>
      </c>
      <c r="G163" s="27">
        <f t="shared" ref="G163" si="1123">F163/F162-1</f>
        <v>4.3976993641031248E-2</v>
      </c>
      <c r="H163" s="258">
        <v>33.359180000000002</v>
      </c>
      <c r="I163" s="27">
        <f t="shared" ref="I163" si="1124">H163/H162-1</f>
        <v>3.5174261410144458E-2</v>
      </c>
      <c r="J163" s="258">
        <v>67.232299999999995</v>
      </c>
      <c r="K163" s="27">
        <f t="shared" ref="K163" si="1125">J163/J162-1</f>
        <v>6.5890872203897777E-2</v>
      </c>
      <c r="L163" s="258">
        <v>28.403151999999999</v>
      </c>
      <c r="M163" s="27">
        <f t="shared" ref="M163" si="1126">L163/L162-1</f>
        <v>2.0981428108237887E-2</v>
      </c>
      <c r="N163" s="258">
        <v>33.100731000000003</v>
      </c>
      <c r="O163" s="27">
        <f t="shared" ref="O163" si="1127">N163/N162-1</f>
        <v>5.2830202722272457E-2</v>
      </c>
      <c r="P163" s="258">
        <v>51.97213</v>
      </c>
      <c r="Q163" s="27">
        <f t="shared" ref="Q163" si="1128">P163/P162-1</f>
        <v>3.6073330970616713E-2</v>
      </c>
      <c r="R163" s="258">
        <v>70.080001999999993</v>
      </c>
      <c r="S163" s="27">
        <f t="shared" ref="S163" si="1129">R163/R162-1</f>
        <v>2.6061477625410889E-2</v>
      </c>
      <c r="T163" s="259">
        <v>3097.73999</v>
      </c>
      <c r="U163" s="27">
        <f t="shared" ref="U163" si="1130">T163/T162-1</f>
        <v>1.8554481425861136E-2</v>
      </c>
    </row>
    <row r="164" spans="1:21" x14ac:dyDescent="0.2">
      <c r="A164" s="223">
        <v>44004</v>
      </c>
      <c r="B164" s="1">
        <v>128.00950599999999</v>
      </c>
      <c r="C164" s="27">
        <f t="shared" si="1026"/>
        <v>-1.7900781787291598E-2</v>
      </c>
      <c r="D164" s="258">
        <v>43.220142000000003</v>
      </c>
      <c r="E164" s="27">
        <f t="shared" si="1026"/>
        <v>-5.3237763965239271E-2</v>
      </c>
      <c r="F164" s="258">
        <v>47.713794999999998</v>
      </c>
      <c r="G164" s="27">
        <f t="shared" ref="G164" si="1131">F164/F163-1</f>
        <v>-1.5058904536185858E-2</v>
      </c>
      <c r="H164" s="258">
        <v>32.454357000000002</v>
      </c>
      <c r="I164" s="27">
        <f t="shared" ref="I164" si="1132">H164/H163-1</f>
        <v>-2.7123658315342247E-2</v>
      </c>
      <c r="J164" s="258">
        <v>63.343978999999997</v>
      </c>
      <c r="K164" s="27">
        <f t="shared" ref="K164" si="1133">J164/J163-1</f>
        <v>-5.7834121397007054E-2</v>
      </c>
      <c r="L164" s="258">
        <v>27.918388</v>
      </c>
      <c r="M164" s="27">
        <f t="shared" ref="M164" si="1134">L164/L163-1</f>
        <v>-1.7067260704023202E-2</v>
      </c>
      <c r="N164" s="258">
        <v>30.549956999999999</v>
      </c>
      <c r="O164" s="27">
        <f t="shared" ref="O164" si="1135">N164/N163-1</f>
        <v>-7.7060956750471865E-2</v>
      </c>
      <c r="P164" s="258">
        <v>49.519866999999998</v>
      </c>
      <c r="Q164" s="27">
        <f t="shared" ref="Q164" si="1136">P164/P163-1</f>
        <v>-4.7184192758695898E-2</v>
      </c>
      <c r="R164" s="258">
        <v>67.900002000000001</v>
      </c>
      <c r="S164" s="27">
        <f t="shared" ref="S164" si="1137">R164/R163-1</f>
        <v>-3.1107305048307388E-2</v>
      </c>
      <c r="T164" s="259">
        <v>3009.0500489999999</v>
      </c>
      <c r="U164" s="27">
        <f t="shared" ref="U164" si="1138">T164/T163-1</f>
        <v>-2.8630531060161779E-2</v>
      </c>
    </row>
    <row r="165" spans="1:21" x14ac:dyDescent="0.2">
      <c r="A165" s="223">
        <v>44011</v>
      </c>
      <c r="B165" s="1">
        <v>131.901535</v>
      </c>
      <c r="C165" s="27">
        <f t="shared" si="1026"/>
        <v>3.0404218574205055E-2</v>
      </c>
      <c r="D165" s="258">
        <v>44.519627</v>
      </c>
      <c r="E165" s="27">
        <f t="shared" si="1026"/>
        <v>3.0066652719465736E-2</v>
      </c>
      <c r="F165" s="258">
        <v>48.620747000000001</v>
      </c>
      <c r="G165" s="27">
        <f t="shared" ref="G165" si="1139">F165/F164-1</f>
        <v>1.9008171536135432E-2</v>
      </c>
      <c r="H165" s="258">
        <v>35.208602999999997</v>
      </c>
      <c r="I165" s="27">
        <f t="shared" ref="I165" si="1140">H165/H164-1</f>
        <v>8.4865215477847755E-2</v>
      </c>
      <c r="J165" s="258">
        <v>65.774178000000006</v>
      </c>
      <c r="K165" s="27">
        <f t="shared" ref="K165" si="1141">J165/J164-1</f>
        <v>3.836511438600998E-2</v>
      </c>
      <c r="L165" s="258">
        <v>28.225079000000001</v>
      </c>
      <c r="M165" s="27">
        <f t="shared" ref="M165" si="1142">L165/L164-1</f>
        <v>1.098526892025431E-2</v>
      </c>
      <c r="N165" s="258">
        <v>31.449648</v>
      </c>
      <c r="O165" s="27">
        <f t="shared" ref="O165" si="1143">N165/N164-1</f>
        <v>2.9449828685520041E-2</v>
      </c>
      <c r="P165" s="258">
        <v>50.914096999999998</v>
      </c>
      <c r="Q165" s="27">
        <f t="shared" ref="Q165" si="1144">P165/P164-1</f>
        <v>2.8154962532512373E-2</v>
      </c>
      <c r="R165" s="258">
        <v>69.260002</v>
      </c>
      <c r="S165" s="27">
        <f t="shared" ref="S165" si="1145">R165/R164-1</f>
        <v>2.0029454491032217E-2</v>
      </c>
      <c r="T165" s="259">
        <v>3130.01001</v>
      </c>
      <c r="U165" s="27">
        <f t="shared" ref="U165" si="1146">T165/T164-1</f>
        <v>4.0198720204138505E-2</v>
      </c>
    </row>
    <row r="166" spans="1:21" x14ac:dyDescent="0.2">
      <c r="A166" s="223">
        <v>44018</v>
      </c>
      <c r="B166" s="1">
        <v>133.500046</v>
      </c>
      <c r="C166" s="27">
        <f t="shared" si="1026"/>
        <v>1.2118971928567701E-2</v>
      </c>
      <c r="D166" s="258">
        <v>44.787457000000003</v>
      </c>
      <c r="E166" s="27">
        <f t="shared" si="1026"/>
        <v>6.0159982921690336E-3</v>
      </c>
      <c r="F166" s="258">
        <v>49.567135</v>
      </c>
      <c r="G166" s="27">
        <f t="shared" ref="G166" si="1147">F166/F165-1</f>
        <v>1.9464694773200453E-2</v>
      </c>
      <c r="H166" s="258">
        <v>36.103484999999999</v>
      </c>
      <c r="I166" s="27">
        <f t="shared" ref="I166" si="1148">H166/H165-1</f>
        <v>2.5416572194017606E-2</v>
      </c>
      <c r="J166" s="258">
        <v>66.647071999999994</v>
      </c>
      <c r="K166" s="27">
        <f t="shared" ref="K166" si="1149">J166/J165-1</f>
        <v>1.3271074250444936E-2</v>
      </c>
      <c r="L166" s="258">
        <v>29.041304</v>
      </c>
      <c r="M166" s="27">
        <f t="shared" ref="M166" si="1150">L166/L165-1</f>
        <v>2.8918431016614621E-2</v>
      </c>
      <c r="N166" s="258">
        <v>31.914324000000001</v>
      </c>
      <c r="O166" s="27">
        <f t="shared" ref="O166" si="1151">N166/N165-1</f>
        <v>1.4775236912031531E-2</v>
      </c>
      <c r="P166" s="258">
        <v>51.155773000000003</v>
      </c>
      <c r="Q166" s="27">
        <f t="shared" ref="Q166" si="1152">P166/P165-1</f>
        <v>4.7467403772281092E-3</v>
      </c>
      <c r="R166" s="258">
        <v>71.650002000000001</v>
      </c>
      <c r="S166" s="27">
        <f t="shared" ref="S166" si="1153">R166/R165-1</f>
        <v>3.450765132810707E-2</v>
      </c>
      <c r="T166" s="259">
        <v>3185.040039</v>
      </c>
      <c r="U166" s="27">
        <f t="shared" ref="U166" si="1154">T166/T165-1</f>
        <v>1.7581422686887782E-2</v>
      </c>
    </row>
    <row r="167" spans="1:21" x14ac:dyDescent="0.2">
      <c r="A167" s="223">
        <v>44025</v>
      </c>
      <c r="B167" s="1">
        <v>133.69860800000001</v>
      </c>
      <c r="C167" s="27">
        <f t="shared" si="1026"/>
        <v>1.4873552927465727E-3</v>
      </c>
      <c r="D167" s="258">
        <v>46.444046</v>
      </c>
      <c r="E167" s="27">
        <f t="shared" si="1026"/>
        <v>3.6987788790955323E-2</v>
      </c>
      <c r="F167" s="258">
        <v>48.896774000000001</v>
      </c>
      <c r="G167" s="27">
        <f t="shared" ref="G167" si="1155">F167/F166-1</f>
        <v>-1.3524303956643835E-2</v>
      </c>
      <c r="H167" s="258">
        <v>36.371948000000003</v>
      </c>
      <c r="I167" s="27">
        <f t="shared" ref="I167" si="1156">H167/H166-1</f>
        <v>7.4359303540920685E-3</v>
      </c>
      <c r="J167" s="258">
        <v>68.075432000000006</v>
      </c>
      <c r="K167" s="27">
        <f t="shared" ref="K167" si="1157">J167/J166-1</f>
        <v>2.1431699205030519E-2</v>
      </c>
      <c r="L167" s="258">
        <v>29.618153</v>
      </c>
      <c r="M167" s="27">
        <f t="shared" ref="M167" si="1158">L167/L166-1</f>
        <v>1.9863054358716159E-2</v>
      </c>
      <c r="N167" s="258">
        <v>34.613396000000002</v>
      </c>
      <c r="O167" s="27">
        <f t="shared" ref="O167" si="1159">N167/N166-1</f>
        <v>8.4572432115435081E-2</v>
      </c>
      <c r="P167" s="258">
        <v>53.771244000000003</v>
      </c>
      <c r="Q167" s="27">
        <f t="shared" ref="Q167" si="1160">P167/P166-1</f>
        <v>5.1127582413816652E-2</v>
      </c>
      <c r="R167" s="258">
        <v>74.220000999999996</v>
      </c>
      <c r="S167" s="27">
        <f t="shared" ref="S167" si="1161">R167/R166-1</f>
        <v>3.5868791741275885E-2</v>
      </c>
      <c r="T167" s="259">
        <v>3224.7299800000001</v>
      </c>
      <c r="U167" s="27">
        <f t="shared" ref="U167" si="1162">T167/T166-1</f>
        <v>1.2461363283979843E-2</v>
      </c>
    </row>
    <row r="168" spans="1:21" x14ac:dyDescent="0.2">
      <c r="A168" s="223">
        <v>44032</v>
      </c>
      <c r="B168" s="1">
        <v>135.08860799999999</v>
      </c>
      <c r="C168" s="27">
        <f t="shared" si="1026"/>
        <v>1.0396518114833331E-2</v>
      </c>
      <c r="D168" s="258">
        <v>48.100639000000001</v>
      </c>
      <c r="E168" s="27">
        <f t="shared" si="1026"/>
        <v>3.566857633376741E-2</v>
      </c>
      <c r="F168" s="258">
        <v>49.044094000000001</v>
      </c>
      <c r="G168" s="27">
        <f t="shared" ref="G168" si="1163">F168/F167-1</f>
        <v>3.0128777002753626E-3</v>
      </c>
      <c r="H168" s="258">
        <v>36.401778999999998</v>
      </c>
      <c r="I168" s="27">
        <f t="shared" ref="I168" si="1164">H168/H167-1</f>
        <v>8.2016503487780668E-4</v>
      </c>
      <c r="J168" s="258">
        <v>68.125031000000007</v>
      </c>
      <c r="K168" s="27">
        <f t="shared" ref="K168" si="1165">J168/J167-1</f>
        <v>7.2858883950965847E-4</v>
      </c>
      <c r="L168" s="258">
        <v>30.175108000000002</v>
      </c>
      <c r="M168" s="27">
        <f t="shared" ref="M168" si="1166">L168/L167-1</f>
        <v>1.8804514920292448E-2</v>
      </c>
      <c r="N168" s="258">
        <v>34.287135999999997</v>
      </c>
      <c r="O168" s="27">
        <f t="shared" ref="O168" si="1167">N168/N167-1</f>
        <v>-9.4258303923718811E-3</v>
      </c>
      <c r="P168" s="258">
        <v>54.566822000000002</v>
      </c>
      <c r="Q168" s="27">
        <f t="shared" ref="Q168" si="1168">P168/P167-1</f>
        <v>1.4795603389796907E-2</v>
      </c>
      <c r="R168" s="258">
        <v>74.879997000000003</v>
      </c>
      <c r="S168" s="27">
        <f t="shared" ref="S168" si="1169">R168/R167-1</f>
        <v>8.8924277971917931E-3</v>
      </c>
      <c r="T168" s="259">
        <v>3215.6298830000001</v>
      </c>
      <c r="U168" s="27">
        <f t="shared" ref="U168" si="1170">T168/T167-1</f>
        <v>-2.8219717794790711E-3</v>
      </c>
    </row>
    <row r="169" spans="1:21" x14ac:dyDescent="0.2">
      <c r="A169" s="223">
        <v>44039</v>
      </c>
      <c r="B169" s="1">
        <v>136.6772</v>
      </c>
      <c r="C169" s="27">
        <f t="shared" si="1026"/>
        <v>1.1759629649896297E-2</v>
      </c>
      <c r="D169" s="258">
        <v>46.860675999999998</v>
      </c>
      <c r="E169" s="27">
        <f t="shared" si="1026"/>
        <v>-2.5778514085852411E-2</v>
      </c>
      <c r="F169" s="258">
        <v>49.212868</v>
      </c>
      <c r="G169" s="27">
        <f t="shared" ref="G169" si="1171">F169/F168-1</f>
        <v>3.4412706247566316E-3</v>
      </c>
      <c r="H169" s="258">
        <v>37.237000000000002</v>
      </c>
      <c r="I169" s="27">
        <f t="shared" ref="I169" si="1172">H169/H168-1</f>
        <v>2.294451048669921E-2</v>
      </c>
      <c r="J169" s="258">
        <v>68.432518000000002</v>
      </c>
      <c r="K169" s="27">
        <f t="shared" ref="K169" si="1173">J169/J168-1</f>
        <v>4.5135685883210819E-3</v>
      </c>
      <c r="L169" s="258">
        <v>30.423749999999998</v>
      </c>
      <c r="M169" s="27">
        <f t="shared" ref="M169" si="1174">L169/L168-1</f>
        <v>8.2399705081419583E-3</v>
      </c>
      <c r="N169" s="258">
        <v>33.990535999999999</v>
      </c>
      <c r="O169" s="27">
        <f t="shared" ref="O169" si="1175">N169/N168-1</f>
        <v>-8.6504746269854271E-3</v>
      </c>
      <c r="P169" s="258">
        <v>55.183399000000001</v>
      </c>
      <c r="Q169" s="27">
        <f t="shared" ref="Q169" si="1176">P169/P168-1</f>
        <v>1.1299485243982055E-2</v>
      </c>
      <c r="R169" s="258">
        <v>78.480002999999996</v>
      </c>
      <c r="S169" s="27">
        <f t="shared" ref="S169" si="1177">R169/R168-1</f>
        <v>4.8077005131290207E-2</v>
      </c>
      <c r="T169" s="259">
        <v>3271.1201169999999</v>
      </c>
      <c r="U169" s="27">
        <f t="shared" ref="U169" si="1178">T169/T168-1</f>
        <v>1.7256411968727736E-2</v>
      </c>
    </row>
    <row r="170" spans="1:21" x14ac:dyDescent="0.2">
      <c r="A170" s="223">
        <v>44046</v>
      </c>
      <c r="B170" s="1">
        <v>135.76376300000001</v>
      </c>
      <c r="C170" s="27">
        <f t="shared" si="1026"/>
        <v>-6.6831702727301323E-3</v>
      </c>
      <c r="D170" s="258">
        <v>47.416176</v>
      </c>
      <c r="E170" s="27">
        <f t="shared" si="1026"/>
        <v>1.1854289084519465E-2</v>
      </c>
      <c r="F170" s="258">
        <v>49.609988999999999</v>
      </c>
      <c r="G170" s="27">
        <f t="shared" ref="G170" si="1179">F170/F169-1</f>
        <v>8.0694545174648802E-3</v>
      </c>
      <c r="H170" s="258">
        <v>37.624783000000001</v>
      </c>
      <c r="I170" s="27">
        <f t="shared" ref="I170" si="1180">H170/H169-1</f>
        <v>1.0413916266079459E-2</v>
      </c>
      <c r="J170" s="258">
        <v>68.958236999999997</v>
      </c>
      <c r="K170" s="27">
        <f t="shared" ref="K170" si="1181">J170/J169-1</f>
        <v>7.6822980560204979E-3</v>
      </c>
      <c r="L170" s="258">
        <v>29.468966000000002</v>
      </c>
      <c r="M170" s="27">
        <f t="shared" ref="M170" si="1182">L170/L169-1</f>
        <v>-3.138285056904544E-2</v>
      </c>
      <c r="N170" s="258">
        <v>35.008868999999997</v>
      </c>
      <c r="O170" s="27">
        <f t="shared" ref="O170" si="1183">N170/N169-1</f>
        <v>2.9959309850247751E-2</v>
      </c>
      <c r="P170" s="258">
        <v>55.292788999999999</v>
      </c>
      <c r="Q170" s="27">
        <f t="shared" ref="Q170" si="1184">P170/P169-1</f>
        <v>1.9822990606286339E-3</v>
      </c>
      <c r="R170" s="258">
        <v>83.190002000000007</v>
      </c>
      <c r="S170" s="27">
        <f t="shared" ref="S170" si="1185">R170/R169-1</f>
        <v>6.0015275483616071E-2</v>
      </c>
      <c r="T170" s="259">
        <v>3351.280029</v>
      </c>
      <c r="U170" s="27">
        <f t="shared" ref="U170" si="1186">T170/T169-1</f>
        <v>2.4505340413337073E-2</v>
      </c>
    </row>
    <row r="171" spans="1:21" x14ac:dyDescent="0.2">
      <c r="A171" s="223">
        <v>44053</v>
      </c>
      <c r="B171" s="1">
        <v>136.577911</v>
      </c>
      <c r="C171" s="27">
        <f t="shared" si="1026"/>
        <v>5.9967990132976379E-3</v>
      </c>
      <c r="D171" s="258">
        <v>48.060958999999997</v>
      </c>
      <c r="E171" s="27">
        <f t="shared" si="1026"/>
        <v>1.3598376216588992E-2</v>
      </c>
      <c r="F171" s="258">
        <v>51.258026000000001</v>
      </c>
      <c r="G171" s="27">
        <f t="shared" ref="G171" si="1187">F171/F170-1</f>
        <v>3.3219862233793362E-2</v>
      </c>
      <c r="H171" s="258">
        <v>37.779998999999997</v>
      </c>
      <c r="I171" s="27">
        <f t="shared" ref="I171" si="1188">H171/H170-1</f>
        <v>4.1253659854993963E-3</v>
      </c>
      <c r="J171" s="258">
        <v>68.541634000000002</v>
      </c>
      <c r="K171" s="27">
        <f t="shared" ref="K171" si="1189">J171/J170-1</f>
        <v>-6.0413812493494978E-3</v>
      </c>
      <c r="L171" s="258">
        <v>29.727551999999999</v>
      </c>
      <c r="M171" s="27">
        <f t="shared" ref="M171" si="1190">L171/L170-1</f>
        <v>8.7748582695434951E-3</v>
      </c>
      <c r="N171" s="258">
        <v>35.186829000000003</v>
      </c>
      <c r="O171" s="27">
        <f t="shared" ref="O171" si="1191">N171/N170-1</f>
        <v>5.0832833245770814E-3</v>
      </c>
      <c r="P171" s="258">
        <v>55.809916999999999</v>
      </c>
      <c r="Q171" s="27">
        <f t="shared" ref="Q171" si="1192">P171/P170-1</f>
        <v>9.3525396232048141E-3</v>
      </c>
      <c r="R171" s="258">
        <v>83.32</v>
      </c>
      <c r="S171" s="27">
        <f t="shared" ref="S171" si="1193">R171/R170-1</f>
        <v>1.5626637441357172E-3</v>
      </c>
      <c r="T171" s="259">
        <v>3372.8500979999999</v>
      </c>
      <c r="U171" s="27">
        <f t="shared" ref="U171" si="1194">T171/T170-1</f>
        <v>6.4363672427685259E-3</v>
      </c>
    </row>
    <row r="172" spans="1:21" x14ac:dyDescent="0.2">
      <c r="A172" s="223">
        <v>44060</v>
      </c>
      <c r="B172" s="1">
        <v>135.48576399999999</v>
      </c>
      <c r="C172" s="27">
        <f t="shared" si="1026"/>
        <v>-7.9965127010912518E-3</v>
      </c>
      <c r="D172" s="258">
        <v>46.900351999999998</v>
      </c>
      <c r="E172" s="27">
        <f t="shared" si="1026"/>
        <v>-2.4148644224931015E-2</v>
      </c>
      <c r="F172" s="258">
        <v>52.161472000000003</v>
      </c>
      <c r="G172" s="27">
        <f t="shared" ref="G172" si="1195">F172/F171-1</f>
        <v>1.7625454402009133E-2</v>
      </c>
      <c r="H172" s="258">
        <v>37.82</v>
      </c>
      <c r="I172" s="27">
        <f t="shared" ref="I172" si="1196">H172/H171-1</f>
        <v>1.0587877463947848E-3</v>
      </c>
      <c r="J172" s="258">
        <v>68.333327999999995</v>
      </c>
      <c r="K172" s="27">
        <f t="shared" ref="K172" si="1197">J172/J171-1</f>
        <v>-3.0391163420470102E-3</v>
      </c>
      <c r="L172" s="258">
        <v>28.772772</v>
      </c>
      <c r="M172" s="27">
        <f t="shared" ref="M172" si="1198">L172/L171-1</f>
        <v>-3.2117679921979447E-2</v>
      </c>
      <c r="N172" s="258">
        <v>34.168498999999997</v>
      </c>
      <c r="O172" s="27">
        <f t="shared" ref="O172" si="1199">N172/N171-1</f>
        <v>-2.8940658449217005E-2</v>
      </c>
      <c r="P172" s="258">
        <v>57.152458000000003</v>
      </c>
      <c r="Q172" s="27">
        <f t="shared" ref="Q172" si="1200">P172/P171-1</f>
        <v>2.4055599294297458E-2</v>
      </c>
      <c r="R172" s="258">
        <v>82.730002999999996</v>
      </c>
      <c r="S172" s="27">
        <f t="shared" ref="S172" si="1201">R172/R171-1</f>
        <v>-7.0810969755160658E-3</v>
      </c>
      <c r="T172" s="259">
        <v>3397.1599120000001</v>
      </c>
      <c r="U172" s="27">
        <f t="shared" ref="U172" si="1202">T172/T171-1</f>
        <v>7.2074990864299249E-3</v>
      </c>
    </row>
    <row r="173" spans="1:21" x14ac:dyDescent="0.2">
      <c r="A173" s="223">
        <v>44067</v>
      </c>
      <c r="B173" s="1">
        <v>138.94091800000001</v>
      </c>
      <c r="C173" s="27">
        <f t="shared" si="1026"/>
        <v>2.5501970819606035E-2</v>
      </c>
      <c r="D173" s="258">
        <v>49.429878000000002</v>
      </c>
      <c r="E173" s="27">
        <f t="shared" si="1026"/>
        <v>5.3934051497097624E-2</v>
      </c>
      <c r="F173" s="258">
        <v>51.764350999999998</v>
      </c>
      <c r="G173" s="27">
        <f t="shared" ref="G173" si="1203">F173/F172-1</f>
        <v>-7.6133012503942776E-3</v>
      </c>
      <c r="H173" s="258">
        <v>38.159999999999997</v>
      </c>
      <c r="I173" s="27">
        <f t="shared" ref="I173" si="1204">H173/H172-1</f>
        <v>8.9899524061343161E-3</v>
      </c>
      <c r="J173" s="258">
        <v>69.970000999999996</v>
      </c>
      <c r="K173" s="27">
        <f t="shared" ref="K173" si="1205">J173/J172-1</f>
        <v>2.3951314064492912E-2</v>
      </c>
      <c r="L173" s="258">
        <v>29.906573999999999</v>
      </c>
      <c r="M173" s="27">
        <f t="shared" ref="M173" si="1206">L173/L172-1</f>
        <v>3.9405379502537974E-2</v>
      </c>
      <c r="N173" s="258">
        <v>34.484870999999998</v>
      </c>
      <c r="O173" s="27">
        <f t="shared" ref="O173" si="1207">N173/N172-1</f>
        <v>9.259171730078064E-3</v>
      </c>
      <c r="P173" s="258">
        <v>57.987819999999999</v>
      </c>
      <c r="Q173" s="27">
        <f t="shared" ref="Q173" si="1208">P173/P172-1</f>
        <v>1.4616379229043686E-2</v>
      </c>
      <c r="R173" s="258">
        <v>84.540001000000004</v>
      </c>
      <c r="S173" s="27">
        <f t="shared" ref="S173" si="1209">R173/R172-1</f>
        <v>2.1878374644807019E-2</v>
      </c>
      <c r="T173" s="259">
        <v>3508.01001</v>
      </c>
      <c r="U173" s="27">
        <f t="shared" ref="U173" si="1210">T173/T172-1</f>
        <v>3.2630226680951058E-2</v>
      </c>
    </row>
    <row r="174" spans="1:21" x14ac:dyDescent="0.2">
      <c r="A174" s="223">
        <v>44074</v>
      </c>
      <c r="B174" s="1">
        <v>137.76933299999999</v>
      </c>
      <c r="C174" s="27">
        <f t="shared" si="1026"/>
        <v>-8.4322531970029146E-3</v>
      </c>
      <c r="D174" s="258">
        <v>50.630161000000001</v>
      </c>
      <c r="E174" s="27">
        <f t="shared" si="1026"/>
        <v>2.4282540207766656E-2</v>
      </c>
      <c r="F174" s="258">
        <v>47.237206</v>
      </c>
      <c r="G174" s="27">
        <f t="shared" ref="G174" si="1211">F174/F173-1</f>
        <v>-8.745680980333348E-2</v>
      </c>
      <c r="H174" s="258">
        <v>37.130001</v>
      </c>
      <c r="I174" s="27">
        <f t="shared" ref="I174" si="1212">H174/H173-1</f>
        <v>-2.699158805031443E-2</v>
      </c>
      <c r="J174" s="258">
        <v>68.660667000000004</v>
      </c>
      <c r="K174" s="27">
        <f t="shared" ref="K174" si="1213">J174/J173-1</f>
        <v>-1.8712790928786638E-2</v>
      </c>
      <c r="L174" s="258">
        <v>29.379456999999999</v>
      </c>
      <c r="M174" s="27">
        <f t="shared" ref="M174" si="1214">L174/L173-1</f>
        <v>-1.7625455861309924E-2</v>
      </c>
      <c r="N174" s="258">
        <v>33.470001000000003</v>
      </c>
      <c r="O174" s="27">
        <f t="shared" ref="O174" si="1215">N174/N173-1</f>
        <v>-2.9429427182720014E-2</v>
      </c>
      <c r="P174" s="258">
        <v>57.560192000000001</v>
      </c>
      <c r="Q174" s="27">
        <f t="shared" ref="Q174" si="1216">P174/P173-1</f>
        <v>-7.3744451852130188E-3</v>
      </c>
      <c r="R174" s="258">
        <v>82.269997000000004</v>
      </c>
      <c r="S174" s="27">
        <f t="shared" ref="S174" si="1217">R174/R173-1</f>
        <v>-2.6851241697998129E-2</v>
      </c>
      <c r="T174" s="259">
        <v>3426.959961</v>
      </c>
      <c r="U174" s="27">
        <f t="shared" ref="U174" si="1218">T174/T173-1</f>
        <v>-2.3104280993770598E-2</v>
      </c>
    </row>
    <row r="175" spans="1:21" x14ac:dyDescent="0.2">
      <c r="A175" s="223">
        <v>44081</v>
      </c>
      <c r="B175" s="1">
        <v>135.80999800000001</v>
      </c>
      <c r="C175" s="27">
        <f t="shared" si="1026"/>
        <v>-1.4221851534985563E-2</v>
      </c>
      <c r="D175" s="258">
        <v>50.650002000000001</v>
      </c>
      <c r="E175" s="27">
        <f t="shared" si="1026"/>
        <v>3.9188103707599176E-4</v>
      </c>
      <c r="F175" s="258">
        <v>45.172192000000003</v>
      </c>
      <c r="G175" s="27">
        <f t="shared" ref="G175" si="1219">F175/F174-1</f>
        <v>-4.3715837045908201E-2</v>
      </c>
      <c r="H175" s="258">
        <v>34.470001000000003</v>
      </c>
      <c r="I175" s="27">
        <f t="shared" ref="I175" si="1220">H175/H174-1</f>
        <v>-7.1640181210875675E-2</v>
      </c>
      <c r="J175" s="258">
        <v>65.440002000000007</v>
      </c>
      <c r="K175" s="27">
        <f t="shared" ref="K175" si="1221">J175/J174-1</f>
        <v>-4.690698679055938E-2</v>
      </c>
      <c r="L175" s="258">
        <v>28.673314999999999</v>
      </c>
      <c r="M175" s="27">
        <f t="shared" ref="M175" si="1222">L175/L174-1</f>
        <v>-2.4035229786581791E-2</v>
      </c>
      <c r="N175" s="258">
        <v>31.709999</v>
      </c>
      <c r="O175" s="27">
        <f t="shared" ref="O175" si="1223">N175/N174-1</f>
        <v>-5.2584462127742482E-2</v>
      </c>
      <c r="P175" s="258">
        <v>57.232013999999999</v>
      </c>
      <c r="Q175" s="27">
        <f t="shared" ref="Q175" si="1224">P175/P174-1</f>
        <v>-5.7014750749962984E-3</v>
      </c>
      <c r="R175" s="258">
        <v>81.339995999999999</v>
      </c>
      <c r="S175" s="27">
        <f t="shared" ref="S175" si="1225">R175/R174-1</f>
        <v>-1.1304254696885452E-2</v>
      </c>
      <c r="T175" s="259">
        <v>3340.969971</v>
      </c>
      <c r="U175" s="27">
        <f t="shared" ref="U175" si="1226">T175/T174-1</f>
        <v>-2.5092207372889086E-2</v>
      </c>
    </row>
    <row r="176" spans="1:21" x14ac:dyDescent="0.2">
      <c r="A176" s="223">
        <v>44088</v>
      </c>
      <c r="B176" s="1">
        <v>131.470001</v>
      </c>
      <c r="C176" s="27">
        <f t="shared" si="1026"/>
        <v>-3.1956388070928377E-2</v>
      </c>
      <c r="D176" s="258">
        <v>50.044899000000001</v>
      </c>
      <c r="E176" s="27">
        <f t="shared" si="1026"/>
        <v>-1.1946751749387863E-2</v>
      </c>
      <c r="F176" s="258">
        <v>45.112620999999997</v>
      </c>
      <c r="G176" s="27">
        <f t="shared" ref="G176" si="1227">F176/F175-1</f>
        <v>-1.3187538032248813E-3</v>
      </c>
      <c r="H176" s="258">
        <v>34.549999</v>
      </c>
      <c r="I176" s="27">
        <f t="shared" ref="I176" si="1228">H176/H175-1</f>
        <v>2.3208006289294758E-3</v>
      </c>
      <c r="J176" s="258">
        <v>62.919998</v>
      </c>
      <c r="K176" s="27">
        <f t="shared" ref="K176" si="1229">J176/J175-1</f>
        <v>-3.850861740499345E-2</v>
      </c>
      <c r="L176" s="258">
        <v>27.897552000000001</v>
      </c>
      <c r="M176" s="27">
        <f t="shared" ref="M176" si="1230">L176/L175-1</f>
        <v>-2.7055225389879034E-2</v>
      </c>
      <c r="N176" s="258">
        <v>29.74</v>
      </c>
      <c r="O176" s="27">
        <f t="shared" ref="O176" si="1231">N176/N175-1</f>
        <v>-6.2125482880021621E-2</v>
      </c>
      <c r="P176" s="258">
        <v>56.207706000000002</v>
      </c>
      <c r="Q176" s="27">
        <f t="shared" ref="Q176" si="1232">P176/P175-1</f>
        <v>-1.7897465568833537E-2</v>
      </c>
      <c r="R176" s="258">
        <v>78.989998</v>
      </c>
      <c r="S176" s="27">
        <f t="shared" ref="S176" si="1233">R176/R175-1</f>
        <v>-2.8891051334696383E-2</v>
      </c>
      <c r="T176" s="259">
        <v>3319.469971</v>
      </c>
      <c r="U176" s="27">
        <f t="shared" ref="U176" si="1234">T176/T175-1</f>
        <v>-6.4352568824690426E-3</v>
      </c>
    </row>
    <row r="177" spans="1:21" x14ac:dyDescent="0.2">
      <c r="A177" s="223">
        <v>44095</v>
      </c>
      <c r="B177" s="1">
        <v>133.550003</v>
      </c>
      <c r="C177" s="27">
        <f t="shared" si="1026"/>
        <v>1.5821114962948801E-2</v>
      </c>
      <c r="D177" s="258">
        <v>48.720001000000003</v>
      </c>
      <c r="E177" s="27">
        <f t="shared" si="1026"/>
        <v>-2.647418670981827E-2</v>
      </c>
      <c r="F177" s="258">
        <v>47.217350000000003</v>
      </c>
      <c r="G177" s="27">
        <f t="shared" ref="G177" si="1235">F177/F176-1</f>
        <v>4.6654992623904601E-2</v>
      </c>
      <c r="H177" s="258">
        <v>35.119999</v>
      </c>
      <c r="I177" s="27">
        <f t="shared" ref="I177" si="1236">H177/H176-1</f>
        <v>1.6497829710501621E-2</v>
      </c>
      <c r="J177" s="258">
        <v>63.080002</v>
      </c>
      <c r="K177" s="27">
        <f t="shared" ref="K177" si="1237">J177/J176-1</f>
        <v>2.5429752874435163E-3</v>
      </c>
      <c r="L177" s="258">
        <v>27.728477000000002</v>
      </c>
      <c r="M177" s="27">
        <f t="shared" ref="M177" si="1238">L177/L176-1</f>
        <v>-6.0605676082259308E-3</v>
      </c>
      <c r="N177" s="258">
        <v>29.129999000000002</v>
      </c>
      <c r="O177" s="27">
        <f t="shared" ref="O177" si="1239">N177/N176-1</f>
        <v>-2.0511129791526472E-2</v>
      </c>
      <c r="P177" s="258">
        <v>55.849696999999999</v>
      </c>
      <c r="Q177" s="27">
        <f t="shared" ref="Q177" si="1240">P177/P176-1</f>
        <v>-6.3693935489913533E-3</v>
      </c>
      <c r="R177" s="258">
        <v>78.790001000000004</v>
      </c>
      <c r="S177" s="27">
        <f t="shared" ref="S177" si="1241">R177/R176-1</f>
        <v>-2.5319281562711238E-3</v>
      </c>
      <c r="T177" s="259">
        <v>3298.459961</v>
      </c>
      <c r="U177" s="27">
        <f t="shared" ref="U177" si="1242">T177/T176-1</f>
        <v>-6.3293267249140417E-3</v>
      </c>
    </row>
    <row r="178" spans="1:21" x14ac:dyDescent="0.2">
      <c r="A178" s="223">
        <v>44102</v>
      </c>
      <c r="B178" s="1">
        <v>137.16000399999999</v>
      </c>
      <c r="C178" s="27">
        <f t="shared" si="1026"/>
        <v>2.7031081384550681E-2</v>
      </c>
      <c r="D178" s="258">
        <v>48.919998</v>
      </c>
      <c r="E178" s="27">
        <f t="shared" si="1026"/>
        <v>4.1050286513746315E-3</v>
      </c>
      <c r="F178" s="258">
        <v>47.674033999999999</v>
      </c>
      <c r="G178" s="27">
        <f t="shared" ref="G178" si="1243">F178/F177-1</f>
        <v>9.6719532121136709E-3</v>
      </c>
      <c r="H178" s="258">
        <v>35.479999999999997</v>
      </c>
      <c r="I178" s="27">
        <f t="shared" ref="I178" si="1244">H178/H177-1</f>
        <v>1.0250598241759556E-2</v>
      </c>
      <c r="J178" s="258">
        <v>63.439999</v>
      </c>
      <c r="K178" s="27">
        <f t="shared" ref="K178" si="1245">J178/J177-1</f>
        <v>5.7069909414397824E-3</v>
      </c>
      <c r="L178" s="258">
        <v>26.962664</v>
      </c>
      <c r="M178" s="27">
        <f t="shared" ref="M178" si="1246">L178/L177-1</f>
        <v>-2.7618285706784484E-2</v>
      </c>
      <c r="N178" s="258">
        <v>29.59</v>
      </c>
      <c r="O178" s="27">
        <f t="shared" ref="O178" si="1247">N178/N177-1</f>
        <v>1.5791315337841283E-2</v>
      </c>
      <c r="P178" s="258">
        <v>56.167926999999999</v>
      </c>
      <c r="Q178" s="27">
        <f t="shared" ref="Q178" si="1248">P178/P177-1</f>
        <v>5.6979718260601331E-3</v>
      </c>
      <c r="R178" s="258">
        <v>79.790001000000004</v>
      </c>
      <c r="S178" s="27">
        <f t="shared" ref="S178" si="1249">R178/R177-1</f>
        <v>1.2691965824445095E-2</v>
      </c>
      <c r="T178" s="259">
        <v>3335.469971</v>
      </c>
      <c r="U178" s="27">
        <f t="shared" ref="U178" si="1250">T178/T177-1</f>
        <v>1.1220390860460672E-2</v>
      </c>
    </row>
    <row r="179" spans="1:21" x14ac:dyDescent="0.2">
      <c r="A179" s="223"/>
      <c r="B179" s="258"/>
      <c r="C179" s="27"/>
      <c r="D179" s="215"/>
      <c r="E179" s="27"/>
      <c r="F179" s="215"/>
      <c r="G179" s="27"/>
      <c r="H179" s="215"/>
      <c r="I179" s="27"/>
      <c r="J179" s="215"/>
      <c r="K179" s="27"/>
    </row>
    <row r="180" spans="1:21" x14ac:dyDescent="0.2">
      <c r="A180" s="223"/>
      <c r="B180" s="258"/>
      <c r="C180" s="27"/>
      <c r="D180" s="215"/>
      <c r="E180" s="27"/>
      <c r="F180" s="215"/>
      <c r="G180" s="27"/>
      <c r="H180" s="215"/>
      <c r="I180" s="27"/>
      <c r="J180" s="215"/>
      <c r="K180" s="27"/>
    </row>
    <row r="181" spans="1:21" x14ac:dyDescent="0.2">
      <c r="A181" s="223"/>
      <c r="B181" s="258"/>
      <c r="C181" s="27"/>
      <c r="D181" s="215"/>
      <c r="E181" s="27"/>
      <c r="F181" s="215"/>
      <c r="G181" s="27"/>
      <c r="H181" s="215"/>
      <c r="I181" s="27"/>
      <c r="J181" s="215"/>
      <c r="K181" s="27"/>
    </row>
    <row r="182" spans="1:21" x14ac:dyDescent="0.2">
      <c r="A182" s="223"/>
      <c r="B182" s="258"/>
      <c r="C182" s="27"/>
      <c r="D182" s="215"/>
      <c r="E182" s="27"/>
      <c r="F182" s="215"/>
      <c r="G182" s="27"/>
      <c r="H182" s="215"/>
      <c r="I182" s="27"/>
      <c r="J182" s="215"/>
      <c r="K182" s="27"/>
    </row>
    <row r="183" spans="1:21" x14ac:dyDescent="0.2">
      <c r="A183" s="223"/>
      <c r="B183" s="258"/>
      <c r="C183" s="27"/>
      <c r="D183" s="215"/>
      <c r="E183" s="27"/>
      <c r="F183" s="215"/>
      <c r="G183" s="27"/>
      <c r="H183" s="215"/>
      <c r="I183" s="27"/>
      <c r="J183" s="215"/>
      <c r="K183" s="27"/>
    </row>
    <row r="184" spans="1:21" x14ac:dyDescent="0.2">
      <c r="A184" s="223"/>
      <c r="B184" s="258"/>
      <c r="C184" s="27"/>
      <c r="D184" s="215"/>
      <c r="E184" s="27"/>
      <c r="F184" s="215"/>
      <c r="G184" s="27"/>
      <c r="H184" s="215"/>
      <c r="I184" s="27"/>
      <c r="J184" s="215"/>
      <c r="K184" s="27"/>
    </row>
    <row r="185" spans="1:21" x14ac:dyDescent="0.2">
      <c r="A185" s="223"/>
      <c r="B185" s="258"/>
      <c r="C185" s="27"/>
      <c r="D185" s="215"/>
      <c r="E185" s="27"/>
      <c r="F185" s="215"/>
      <c r="G185" s="27"/>
      <c r="H185" s="215"/>
      <c r="I185" s="27"/>
      <c r="J185" s="215"/>
      <c r="K185" s="27"/>
    </row>
    <row r="186" spans="1:21" x14ac:dyDescent="0.2">
      <c r="A186" s="223"/>
      <c r="B186" s="258"/>
      <c r="C186" s="27"/>
      <c r="D186" s="215"/>
      <c r="E186" s="27"/>
      <c r="F186" s="215"/>
      <c r="G186" s="27"/>
      <c r="H186" s="215"/>
      <c r="I186" s="27"/>
      <c r="J186" s="215"/>
      <c r="K186" s="27"/>
    </row>
    <row r="187" spans="1:21" x14ac:dyDescent="0.2">
      <c r="A187" s="223"/>
      <c r="B187" s="258"/>
      <c r="C187" s="27"/>
      <c r="D187" s="215"/>
      <c r="E187" s="27"/>
      <c r="F187" s="215"/>
      <c r="G187" s="27"/>
      <c r="H187" s="215"/>
      <c r="I187" s="27"/>
      <c r="J187" s="215"/>
      <c r="K187" s="27"/>
    </row>
    <row r="188" spans="1:21" x14ac:dyDescent="0.2">
      <c r="A188" s="223"/>
      <c r="B188" s="258"/>
      <c r="C188" s="27"/>
      <c r="D188" s="215"/>
      <c r="E188" s="27"/>
      <c r="F188" s="215"/>
      <c r="G188" s="27"/>
      <c r="H188" s="215"/>
      <c r="I188" s="27"/>
      <c r="J188" s="215"/>
      <c r="K188" s="27"/>
    </row>
    <row r="189" spans="1:21" x14ac:dyDescent="0.2">
      <c r="A189" s="223"/>
      <c r="B189" s="258"/>
      <c r="C189" s="27"/>
      <c r="D189" s="215"/>
      <c r="E189" s="27"/>
      <c r="F189" s="215"/>
      <c r="G189" s="27"/>
      <c r="H189" s="215"/>
      <c r="I189" s="27"/>
      <c r="J189" s="215"/>
      <c r="K189" s="27"/>
    </row>
    <row r="190" spans="1:21" x14ac:dyDescent="0.2">
      <c r="A190" s="223"/>
      <c r="B190" s="258"/>
      <c r="C190" s="27"/>
      <c r="D190" s="215"/>
      <c r="E190" s="27"/>
      <c r="F190" s="215"/>
      <c r="G190" s="27"/>
      <c r="H190" s="215"/>
      <c r="I190" s="27"/>
      <c r="J190" s="215"/>
      <c r="K190" s="27"/>
    </row>
    <row r="191" spans="1:21" x14ac:dyDescent="0.2">
      <c r="A191" s="223"/>
      <c r="B191" s="258"/>
      <c r="C191" s="27"/>
      <c r="D191" s="215"/>
      <c r="E191" s="27"/>
      <c r="F191" s="215"/>
      <c r="G191" s="27"/>
      <c r="H191" s="215"/>
      <c r="I191" s="27"/>
      <c r="J191" s="215"/>
      <c r="K191" s="27"/>
    </row>
    <row r="192" spans="1:21" x14ac:dyDescent="0.2">
      <c r="A192" s="223"/>
      <c r="B192" s="258"/>
      <c r="C192" s="27"/>
      <c r="D192" s="215"/>
      <c r="E192" s="27"/>
      <c r="F192" s="215"/>
      <c r="G192" s="27"/>
      <c r="H192" s="215"/>
      <c r="I192" s="27"/>
      <c r="J192" s="215"/>
      <c r="K192" s="27"/>
    </row>
    <row r="193" spans="1:11" x14ac:dyDescent="0.2">
      <c r="A193" s="223"/>
      <c r="B193" s="258"/>
      <c r="C193" s="27"/>
      <c r="D193" s="215"/>
      <c r="E193" s="27"/>
      <c r="F193" s="215"/>
      <c r="G193" s="27"/>
      <c r="H193" s="215"/>
      <c r="I193" s="27"/>
      <c r="J193" s="215"/>
      <c r="K193" s="27"/>
    </row>
    <row r="194" spans="1:11" x14ac:dyDescent="0.2">
      <c r="A194" s="223"/>
      <c r="B194" s="258"/>
      <c r="C194" s="27"/>
      <c r="D194" s="215"/>
      <c r="E194" s="27"/>
      <c r="F194" s="215"/>
      <c r="G194" s="27"/>
      <c r="H194" s="215"/>
      <c r="I194" s="27"/>
      <c r="J194" s="215"/>
      <c r="K194" s="27"/>
    </row>
    <row r="195" spans="1:11" x14ac:dyDescent="0.2">
      <c r="A195" s="223"/>
      <c r="B195" s="258"/>
      <c r="C195" s="27"/>
      <c r="D195" s="215"/>
      <c r="E195" s="27"/>
      <c r="F195" s="215"/>
      <c r="G195" s="27"/>
      <c r="H195" s="215"/>
      <c r="I195" s="27"/>
      <c r="J195" s="215"/>
      <c r="K195" s="27"/>
    </row>
    <row r="196" spans="1:11" x14ac:dyDescent="0.2">
      <c r="A196" s="223"/>
      <c r="B196" s="258"/>
      <c r="C196" s="27"/>
      <c r="D196" s="215"/>
      <c r="E196" s="27"/>
      <c r="F196" s="215"/>
      <c r="G196" s="27"/>
      <c r="H196" s="215"/>
      <c r="I196" s="27"/>
      <c r="J196" s="215"/>
      <c r="K196" s="27"/>
    </row>
    <row r="197" spans="1:11" x14ac:dyDescent="0.2">
      <c r="A197" s="223"/>
      <c r="B197" s="258"/>
      <c r="C197" s="27"/>
      <c r="D197" s="215"/>
      <c r="E197" s="27"/>
      <c r="F197" s="215"/>
      <c r="G197" s="27"/>
      <c r="H197" s="215"/>
      <c r="I197" s="27"/>
      <c r="J197" s="215"/>
      <c r="K197" s="27"/>
    </row>
    <row r="198" spans="1:11" x14ac:dyDescent="0.2">
      <c r="A198" s="223"/>
      <c r="B198" s="258"/>
      <c r="C198" s="27"/>
      <c r="D198" s="215"/>
      <c r="E198" s="27"/>
      <c r="F198" s="215"/>
      <c r="G198" s="27"/>
      <c r="H198" s="215"/>
      <c r="I198" s="27"/>
      <c r="J198" s="215"/>
      <c r="K198" s="27"/>
    </row>
    <row r="199" spans="1:11" x14ac:dyDescent="0.2">
      <c r="A199" s="223"/>
      <c r="B199" s="258"/>
      <c r="C199" s="27"/>
      <c r="D199" s="215"/>
      <c r="E199" s="27"/>
      <c r="F199" s="215"/>
      <c r="G199" s="27"/>
      <c r="H199" s="215"/>
      <c r="I199" s="27"/>
      <c r="J199" s="215"/>
      <c r="K199" s="27"/>
    </row>
    <row r="200" spans="1:11" x14ac:dyDescent="0.2">
      <c r="A200" s="223"/>
      <c r="B200" s="258"/>
      <c r="C200" s="27"/>
      <c r="D200" s="215"/>
      <c r="E200" s="27"/>
      <c r="F200" s="215"/>
      <c r="G200" s="27"/>
      <c r="H200" s="215"/>
      <c r="I200" s="27"/>
      <c r="J200" s="215"/>
      <c r="K200" s="27"/>
    </row>
    <row r="201" spans="1:11" x14ac:dyDescent="0.2">
      <c r="A201" s="223"/>
      <c r="B201" s="258"/>
      <c r="C201" s="27"/>
      <c r="D201" s="215"/>
      <c r="E201" s="27"/>
      <c r="F201" s="215"/>
      <c r="G201" s="27"/>
      <c r="H201" s="215"/>
      <c r="I201" s="27"/>
      <c r="J201" s="215"/>
      <c r="K201" s="27"/>
    </row>
    <row r="202" spans="1:11" x14ac:dyDescent="0.2">
      <c r="A202" s="223"/>
      <c r="B202" s="258"/>
      <c r="C202" s="27"/>
      <c r="D202" s="215"/>
      <c r="E202" s="27"/>
      <c r="F202" s="215"/>
      <c r="G202" s="27"/>
      <c r="H202" s="215"/>
      <c r="I202" s="27"/>
      <c r="J202" s="215"/>
      <c r="K202" s="27"/>
    </row>
    <row r="203" spans="1:11" x14ac:dyDescent="0.2">
      <c r="A203" s="223"/>
      <c r="B203" s="258"/>
      <c r="C203" s="27"/>
      <c r="D203" s="215"/>
      <c r="E203" s="27"/>
      <c r="F203" s="215"/>
      <c r="G203" s="27"/>
      <c r="H203" s="215"/>
      <c r="I203" s="27"/>
      <c r="J203" s="215"/>
      <c r="K203" s="27"/>
    </row>
    <row r="204" spans="1:11" x14ac:dyDescent="0.2">
      <c r="A204" s="223"/>
      <c r="B204" s="258"/>
      <c r="C204" s="27"/>
      <c r="D204" s="215"/>
      <c r="E204" s="27"/>
      <c r="F204" s="215"/>
      <c r="G204" s="27"/>
      <c r="H204" s="215"/>
      <c r="I204" s="27"/>
      <c r="J204" s="215"/>
      <c r="K204" s="27"/>
    </row>
    <row r="205" spans="1:11" x14ac:dyDescent="0.2">
      <c r="A205" s="223"/>
      <c r="B205" s="258"/>
      <c r="C205" s="27"/>
      <c r="D205" s="215"/>
      <c r="E205" s="27"/>
      <c r="F205" s="215"/>
      <c r="G205" s="27"/>
      <c r="H205" s="215"/>
      <c r="I205" s="27"/>
      <c r="J205" s="215"/>
      <c r="K205" s="27"/>
    </row>
    <row r="206" spans="1:11" x14ac:dyDescent="0.2">
      <c r="A206" s="223"/>
      <c r="B206" s="258"/>
      <c r="C206" s="27"/>
      <c r="D206" s="215"/>
      <c r="E206" s="27"/>
      <c r="F206" s="215"/>
      <c r="G206" s="27"/>
      <c r="H206" s="215"/>
      <c r="I206" s="27"/>
      <c r="J206" s="215"/>
      <c r="K206" s="27"/>
    </row>
    <row r="207" spans="1:11" x14ac:dyDescent="0.2">
      <c r="A207" s="223"/>
      <c r="B207" s="258"/>
      <c r="C207" s="27"/>
      <c r="D207" s="215"/>
      <c r="E207" s="27"/>
      <c r="F207" s="215"/>
      <c r="G207" s="27"/>
      <c r="H207" s="215"/>
      <c r="I207" s="27"/>
      <c r="J207" s="215"/>
      <c r="K207" s="27"/>
    </row>
    <row r="208" spans="1:11" x14ac:dyDescent="0.2">
      <c r="A208" s="223"/>
      <c r="B208" s="258"/>
      <c r="C208" s="27"/>
      <c r="D208" s="215"/>
      <c r="E208" s="27"/>
      <c r="F208" s="215"/>
      <c r="G208" s="27"/>
      <c r="H208" s="215"/>
      <c r="I208" s="27"/>
      <c r="J208" s="215"/>
      <c r="K208" s="27"/>
    </row>
    <row r="209" spans="1:11" x14ac:dyDescent="0.2">
      <c r="A209" s="223"/>
      <c r="B209" s="258"/>
      <c r="C209" s="27"/>
      <c r="D209" s="215"/>
      <c r="E209" s="27"/>
      <c r="F209" s="215"/>
      <c r="G209" s="27"/>
      <c r="H209" s="215"/>
      <c r="I209" s="27"/>
      <c r="J209" s="215"/>
      <c r="K209" s="27"/>
    </row>
    <row r="210" spans="1:11" x14ac:dyDescent="0.2">
      <c r="A210" s="223"/>
      <c r="B210" s="258"/>
      <c r="C210" s="27"/>
      <c r="D210" s="215"/>
      <c r="E210" s="27"/>
      <c r="F210" s="215"/>
      <c r="G210" s="27"/>
      <c r="H210" s="215"/>
      <c r="I210" s="27"/>
      <c r="J210" s="215"/>
      <c r="K210" s="27"/>
    </row>
    <row r="211" spans="1:11" x14ac:dyDescent="0.2">
      <c r="A211" s="223"/>
      <c r="B211" s="258"/>
      <c r="C211" s="27"/>
      <c r="D211" s="215"/>
      <c r="E211" s="27"/>
      <c r="F211" s="215"/>
      <c r="G211" s="27"/>
      <c r="H211" s="215"/>
      <c r="I211" s="27"/>
      <c r="J211" s="215"/>
      <c r="K211" s="27"/>
    </row>
    <row r="212" spans="1:11" x14ac:dyDescent="0.2">
      <c r="A212" s="223"/>
      <c r="B212" s="258"/>
      <c r="C212" s="27"/>
      <c r="D212" s="215"/>
      <c r="E212" s="27"/>
      <c r="F212" s="215"/>
      <c r="G212" s="27"/>
      <c r="H212" s="215"/>
      <c r="I212" s="27"/>
      <c r="J212" s="215"/>
      <c r="K212" s="27"/>
    </row>
    <row r="213" spans="1:11" x14ac:dyDescent="0.2">
      <c r="A213" s="223"/>
      <c r="B213" s="258"/>
      <c r="C213" s="27"/>
      <c r="D213" s="215"/>
      <c r="E213" s="27"/>
      <c r="F213" s="215"/>
      <c r="G213" s="27"/>
      <c r="H213" s="215"/>
      <c r="I213" s="27"/>
      <c r="J213" s="215"/>
      <c r="K213" s="27"/>
    </row>
    <row r="214" spans="1:11" x14ac:dyDescent="0.2">
      <c r="A214" s="223"/>
      <c r="B214" s="258"/>
      <c r="C214" s="27"/>
      <c r="D214" s="215"/>
      <c r="E214" s="27"/>
      <c r="F214" s="215"/>
      <c r="G214" s="27"/>
      <c r="H214" s="215"/>
      <c r="I214" s="27"/>
      <c r="J214" s="215"/>
      <c r="K214" s="27"/>
    </row>
    <row r="215" spans="1:11" x14ac:dyDescent="0.2">
      <c r="A215" s="223"/>
      <c r="B215" s="258"/>
      <c r="C215" s="27"/>
      <c r="D215" s="215"/>
      <c r="E215" s="27"/>
      <c r="F215" s="215"/>
      <c r="G215" s="27"/>
      <c r="H215" s="215"/>
      <c r="I215" s="27"/>
      <c r="J215" s="215"/>
      <c r="K215" s="27"/>
    </row>
    <row r="216" spans="1:11" x14ac:dyDescent="0.2">
      <c r="A216" s="223"/>
      <c r="B216" s="258"/>
      <c r="C216" s="27"/>
      <c r="D216" s="215"/>
      <c r="E216" s="27"/>
      <c r="F216" s="215"/>
      <c r="G216" s="27"/>
      <c r="H216" s="215"/>
      <c r="I216" s="27"/>
      <c r="J216" s="215"/>
      <c r="K216" s="27"/>
    </row>
    <row r="217" spans="1:11" x14ac:dyDescent="0.2">
      <c r="A217" s="223"/>
      <c r="B217" s="258"/>
      <c r="C217" s="27"/>
      <c r="D217" s="215"/>
      <c r="E217" s="27"/>
      <c r="F217" s="215"/>
      <c r="G217" s="27"/>
      <c r="H217" s="215"/>
      <c r="I217" s="27"/>
      <c r="J217" s="215"/>
      <c r="K217" s="27"/>
    </row>
    <row r="218" spans="1:11" x14ac:dyDescent="0.2">
      <c r="A218" s="223"/>
      <c r="B218" s="258"/>
      <c r="C218" s="27"/>
      <c r="D218" s="215"/>
      <c r="E218" s="27"/>
      <c r="F218" s="215"/>
      <c r="G218" s="27"/>
      <c r="H218" s="215"/>
      <c r="I218" s="27"/>
      <c r="J218" s="215"/>
      <c r="K218" s="27"/>
    </row>
    <row r="219" spans="1:11" x14ac:dyDescent="0.2">
      <c r="A219" s="223"/>
      <c r="B219" s="258"/>
      <c r="C219" s="27"/>
      <c r="D219" s="215"/>
      <c r="E219" s="27"/>
      <c r="F219" s="215"/>
      <c r="G219" s="27"/>
      <c r="H219" s="215"/>
      <c r="I219" s="27"/>
      <c r="J219" s="215"/>
      <c r="K219" s="27"/>
    </row>
    <row r="220" spans="1:11" x14ac:dyDescent="0.2">
      <c r="A220" s="223"/>
      <c r="B220" s="258"/>
      <c r="C220" s="27"/>
      <c r="D220" s="215"/>
      <c r="E220" s="27"/>
      <c r="F220" s="215"/>
      <c r="G220" s="27"/>
      <c r="H220" s="215"/>
      <c r="I220" s="27"/>
      <c r="J220" s="215"/>
      <c r="K220" s="27"/>
    </row>
    <row r="221" spans="1:11" x14ac:dyDescent="0.2">
      <c r="A221" s="223"/>
      <c r="B221" s="258"/>
      <c r="C221" s="27"/>
      <c r="D221" s="215"/>
      <c r="E221" s="27"/>
      <c r="F221" s="215"/>
      <c r="G221" s="27"/>
      <c r="H221" s="215"/>
      <c r="I221" s="27"/>
      <c r="J221" s="215"/>
      <c r="K221" s="27"/>
    </row>
    <row r="222" spans="1:11" x14ac:dyDescent="0.2">
      <c r="A222" s="223"/>
      <c r="B222" s="258"/>
      <c r="C222" s="27"/>
      <c r="D222" s="215"/>
      <c r="E222" s="27"/>
      <c r="F222" s="215"/>
      <c r="G222" s="27"/>
      <c r="H222" s="215"/>
      <c r="I222" s="27"/>
      <c r="J222" s="215"/>
      <c r="K222" s="27"/>
    </row>
    <row r="223" spans="1:11" x14ac:dyDescent="0.2">
      <c r="A223" s="223"/>
      <c r="B223" s="258"/>
      <c r="C223" s="27"/>
      <c r="D223" s="215"/>
      <c r="E223" s="27"/>
      <c r="F223" s="215"/>
      <c r="G223" s="27"/>
      <c r="H223" s="215"/>
      <c r="I223" s="27"/>
      <c r="J223" s="215"/>
      <c r="K223" s="27"/>
    </row>
    <row r="224" spans="1:11" x14ac:dyDescent="0.2">
      <c r="A224" s="223"/>
      <c r="B224" s="258"/>
      <c r="C224" s="27"/>
      <c r="D224" s="215"/>
      <c r="E224" s="27"/>
      <c r="F224" s="215"/>
      <c r="G224" s="27"/>
      <c r="H224" s="215"/>
      <c r="I224" s="27"/>
      <c r="J224" s="215"/>
      <c r="K224" s="27"/>
    </row>
    <row r="225" spans="1:11" x14ac:dyDescent="0.2">
      <c r="A225" s="223"/>
      <c r="B225" s="258"/>
      <c r="C225" s="27"/>
      <c r="D225" s="215"/>
      <c r="E225" s="27"/>
      <c r="F225" s="215"/>
      <c r="G225" s="27"/>
      <c r="H225" s="215"/>
      <c r="I225" s="27"/>
      <c r="J225" s="215"/>
      <c r="K225" s="27"/>
    </row>
    <row r="226" spans="1:11" x14ac:dyDescent="0.2">
      <c r="A226" s="223"/>
      <c r="B226" s="258"/>
      <c r="C226" s="27"/>
      <c r="D226" s="215"/>
      <c r="E226" s="27"/>
      <c r="F226" s="215"/>
      <c r="G226" s="27"/>
      <c r="H226" s="215"/>
      <c r="I226" s="27"/>
      <c r="J226" s="215"/>
      <c r="K226" s="27"/>
    </row>
    <row r="227" spans="1:11" x14ac:dyDescent="0.2">
      <c r="A227" s="223"/>
      <c r="B227" s="258"/>
      <c r="C227" s="27"/>
      <c r="D227" s="215"/>
      <c r="E227" s="27"/>
      <c r="F227" s="215"/>
      <c r="G227" s="27"/>
      <c r="H227" s="215"/>
      <c r="I227" s="27"/>
      <c r="J227" s="215"/>
      <c r="K227" s="27"/>
    </row>
    <row r="228" spans="1:11" x14ac:dyDescent="0.2">
      <c r="A228" s="223"/>
      <c r="B228" s="258"/>
      <c r="C228" s="27"/>
      <c r="D228" s="215"/>
      <c r="E228" s="27"/>
      <c r="F228" s="215"/>
      <c r="G228" s="27"/>
      <c r="H228" s="215"/>
      <c r="I228" s="27"/>
      <c r="J228" s="215"/>
      <c r="K228" s="27"/>
    </row>
    <row r="229" spans="1:11" x14ac:dyDescent="0.2">
      <c r="A229" s="223"/>
      <c r="B229" s="258"/>
      <c r="C229" s="27"/>
      <c r="D229" s="215"/>
      <c r="E229" s="27"/>
      <c r="F229" s="215"/>
      <c r="G229" s="27"/>
      <c r="H229" s="215"/>
      <c r="I229" s="27"/>
      <c r="J229" s="215"/>
      <c r="K229" s="27"/>
    </row>
    <row r="230" spans="1:11" x14ac:dyDescent="0.2">
      <c r="A230" s="223"/>
      <c r="B230" s="258"/>
      <c r="C230" s="27"/>
      <c r="D230" s="215"/>
      <c r="E230" s="27"/>
      <c r="F230" s="215"/>
      <c r="G230" s="27"/>
      <c r="H230" s="215"/>
      <c r="I230" s="27"/>
      <c r="J230" s="215"/>
      <c r="K230" s="27"/>
    </row>
    <row r="231" spans="1:11" x14ac:dyDescent="0.2">
      <c r="A231" s="223"/>
      <c r="B231" s="258"/>
      <c r="C231" s="27"/>
      <c r="D231" s="215"/>
      <c r="E231" s="27"/>
      <c r="F231" s="215"/>
      <c r="G231" s="27"/>
      <c r="H231" s="215"/>
      <c r="I231" s="27"/>
      <c r="J231" s="215"/>
      <c r="K231" s="27"/>
    </row>
    <row r="232" spans="1:11" x14ac:dyDescent="0.2">
      <c r="A232" s="223"/>
      <c r="B232" s="258"/>
      <c r="C232" s="27"/>
      <c r="D232" s="215"/>
      <c r="E232" s="27"/>
      <c r="F232" s="215"/>
      <c r="G232" s="27"/>
      <c r="H232" s="215"/>
      <c r="I232" s="27"/>
      <c r="J232" s="215"/>
      <c r="K232" s="27"/>
    </row>
    <row r="233" spans="1:11" x14ac:dyDescent="0.2">
      <c r="A233" s="223"/>
      <c r="B233" s="258"/>
      <c r="C233" s="27"/>
      <c r="D233" s="215"/>
      <c r="E233" s="27"/>
      <c r="F233" s="215"/>
      <c r="G233" s="27"/>
      <c r="H233" s="215"/>
      <c r="I233" s="27"/>
      <c r="J233" s="215"/>
      <c r="K233" s="27"/>
    </row>
    <row r="234" spans="1:11" x14ac:dyDescent="0.2">
      <c r="A234" s="223"/>
      <c r="B234" s="258"/>
      <c r="C234" s="27"/>
      <c r="D234" s="215"/>
      <c r="E234" s="27"/>
      <c r="F234" s="215"/>
      <c r="G234" s="27"/>
      <c r="H234" s="215"/>
      <c r="I234" s="27"/>
      <c r="J234" s="215"/>
      <c r="K234" s="27"/>
    </row>
    <row r="235" spans="1:11" x14ac:dyDescent="0.2">
      <c r="A235" s="223"/>
      <c r="B235" s="258"/>
      <c r="C235" s="27"/>
      <c r="D235" s="215"/>
      <c r="E235" s="27"/>
      <c r="F235" s="215"/>
      <c r="G235" s="27"/>
      <c r="H235" s="215"/>
      <c r="I235" s="27"/>
      <c r="J235" s="215"/>
      <c r="K235" s="27"/>
    </row>
    <row r="236" spans="1:11" x14ac:dyDescent="0.2">
      <c r="A236" s="223"/>
      <c r="B236" s="258"/>
      <c r="C236" s="27"/>
      <c r="D236" s="215"/>
      <c r="E236" s="27"/>
      <c r="F236" s="215"/>
      <c r="G236" s="27"/>
      <c r="H236" s="215"/>
      <c r="I236" s="27"/>
      <c r="J236" s="215"/>
      <c r="K236" s="27"/>
    </row>
    <row r="237" spans="1:11" x14ac:dyDescent="0.2">
      <c r="A237" s="223"/>
      <c r="B237" s="258"/>
      <c r="C237" s="27"/>
      <c r="D237" s="215"/>
      <c r="E237" s="27"/>
      <c r="F237" s="215"/>
      <c r="G237" s="27"/>
      <c r="H237" s="215"/>
      <c r="I237" s="27"/>
      <c r="J237" s="215"/>
      <c r="K237" s="27"/>
    </row>
    <row r="238" spans="1:11" x14ac:dyDescent="0.2">
      <c r="A238" s="223"/>
      <c r="B238" s="258"/>
      <c r="C238" s="27"/>
      <c r="D238" s="215"/>
      <c r="E238" s="27"/>
      <c r="F238" s="215"/>
      <c r="G238" s="27"/>
      <c r="H238" s="215"/>
      <c r="I238" s="27"/>
      <c r="J238" s="215"/>
      <c r="K238" s="27"/>
    </row>
    <row r="239" spans="1:11" x14ac:dyDescent="0.2">
      <c r="A239" s="223"/>
      <c r="B239" s="258"/>
      <c r="C239" s="27"/>
      <c r="D239" s="215"/>
      <c r="E239" s="27"/>
      <c r="F239" s="215"/>
      <c r="G239" s="27"/>
      <c r="H239" s="215"/>
      <c r="I239" s="27"/>
      <c r="J239" s="215"/>
      <c r="K239" s="27"/>
    </row>
    <row r="240" spans="1:11" x14ac:dyDescent="0.2">
      <c r="A240" s="223"/>
      <c r="B240" s="258"/>
      <c r="C240" s="27"/>
      <c r="D240" s="215"/>
      <c r="E240" s="27"/>
      <c r="F240" s="215"/>
      <c r="G240" s="27"/>
      <c r="H240" s="215"/>
      <c r="I240" s="27"/>
      <c r="J240" s="215"/>
      <c r="K240" s="27"/>
    </row>
    <row r="241" spans="1:11" x14ac:dyDescent="0.2">
      <c r="A241" s="223"/>
      <c r="B241" s="258"/>
      <c r="C241" s="27"/>
      <c r="D241" s="215"/>
      <c r="E241" s="27"/>
      <c r="F241" s="215"/>
      <c r="G241" s="27"/>
      <c r="H241" s="215"/>
      <c r="I241" s="27"/>
      <c r="J241" s="215"/>
      <c r="K241" s="27"/>
    </row>
    <row r="242" spans="1:11" x14ac:dyDescent="0.2">
      <c r="A242" s="223"/>
      <c r="B242" s="258"/>
      <c r="C242" s="27"/>
      <c r="D242" s="215"/>
      <c r="E242" s="27"/>
      <c r="F242" s="215"/>
      <c r="G242" s="27"/>
      <c r="H242" s="215"/>
      <c r="I242" s="27"/>
      <c r="J242" s="215"/>
      <c r="K242" s="27"/>
    </row>
    <row r="243" spans="1:11" x14ac:dyDescent="0.2">
      <c r="A243" s="223"/>
      <c r="B243" s="258"/>
      <c r="C243" s="27"/>
      <c r="D243" s="215"/>
      <c r="E243" s="27"/>
      <c r="F243" s="215"/>
      <c r="G243" s="27"/>
      <c r="H243" s="215"/>
      <c r="I243" s="27"/>
      <c r="J243" s="215"/>
      <c r="K243" s="27"/>
    </row>
    <row r="244" spans="1:11" x14ac:dyDescent="0.2">
      <c r="A244" s="223"/>
      <c r="B244" s="258"/>
      <c r="C244" s="27"/>
      <c r="D244" s="215"/>
      <c r="E244" s="27"/>
      <c r="F244" s="215"/>
      <c r="G244" s="27"/>
      <c r="H244" s="215"/>
      <c r="I244" s="27"/>
      <c r="J244" s="215"/>
      <c r="K244" s="27"/>
    </row>
    <row r="245" spans="1:11" x14ac:dyDescent="0.2">
      <c r="A245" s="223"/>
      <c r="B245" s="258"/>
      <c r="C245" s="27"/>
      <c r="D245" s="215"/>
      <c r="E245" s="27"/>
      <c r="F245" s="215"/>
      <c r="G245" s="27"/>
      <c r="H245" s="215"/>
      <c r="I245" s="27"/>
      <c r="J245" s="215"/>
      <c r="K245" s="27"/>
    </row>
    <row r="246" spans="1:11" x14ac:dyDescent="0.2">
      <c r="A246" s="223"/>
      <c r="B246" s="258"/>
      <c r="C246" s="27"/>
      <c r="D246" s="215"/>
      <c r="E246" s="27"/>
      <c r="F246" s="215"/>
      <c r="G246" s="27"/>
      <c r="H246" s="215"/>
      <c r="I246" s="27"/>
      <c r="J246" s="215"/>
      <c r="K246" s="27"/>
    </row>
    <row r="247" spans="1:11" x14ac:dyDescent="0.2">
      <c r="A247" s="223"/>
      <c r="B247" s="258"/>
      <c r="C247" s="27"/>
      <c r="D247" s="215"/>
      <c r="E247" s="27"/>
      <c r="F247" s="215"/>
      <c r="G247" s="27"/>
      <c r="H247" s="215"/>
      <c r="I247" s="27"/>
      <c r="J247" s="215"/>
      <c r="K247" s="27"/>
    </row>
    <row r="248" spans="1:11" x14ac:dyDescent="0.2">
      <c r="A248" s="223"/>
      <c r="B248" s="258"/>
      <c r="C248" s="27"/>
      <c r="D248" s="215"/>
      <c r="E248" s="27"/>
      <c r="F248" s="215"/>
      <c r="G248" s="27"/>
      <c r="H248" s="215"/>
      <c r="I248" s="27"/>
      <c r="J248" s="215"/>
      <c r="K248" s="27"/>
    </row>
    <row r="249" spans="1:11" x14ac:dyDescent="0.2">
      <c r="A249" s="223"/>
      <c r="B249" s="258"/>
      <c r="C249" s="27"/>
      <c r="D249" s="215"/>
      <c r="E249" s="27"/>
      <c r="F249" s="215"/>
      <c r="G249" s="27"/>
      <c r="H249" s="215"/>
      <c r="I249" s="27"/>
      <c r="J249" s="215"/>
      <c r="K249" s="27"/>
    </row>
    <row r="250" spans="1:11" x14ac:dyDescent="0.2">
      <c r="A250" s="223"/>
      <c r="B250" s="258"/>
      <c r="C250" s="27"/>
      <c r="D250" s="215"/>
      <c r="E250" s="27"/>
      <c r="F250" s="215"/>
      <c r="G250" s="27"/>
      <c r="H250" s="215"/>
      <c r="I250" s="27"/>
      <c r="J250" s="215"/>
      <c r="K250" s="27"/>
    </row>
    <row r="251" spans="1:11" x14ac:dyDescent="0.2">
      <c r="A251" s="223"/>
      <c r="B251" s="258"/>
      <c r="C251" s="27"/>
      <c r="D251" s="215"/>
      <c r="E251" s="27"/>
      <c r="F251" s="215"/>
      <c r="G251" s="27"/>
      <c r="H251" s="215"/>
      <c r="I251" s="27"/>
      <c r="J251" s="215"/>
      <c r="K251" s="27"/>
    </row>
    <row r="252" spans="1:11" x14ac:dyDescent="0.2">
      <c r="A252" s="223"/>
      <c r="B252" s="258"/>
      <c r="C252" s="27"/>
      <c r="D252" s="215"/>
      <c r="E252" s="27"/>
      <c r="F252" s="215"/>
      <c r="G252" s="27"/>
      <c r="H252" s="215"/>
      <c r="I252" s="27"/>
      <c r="J252" s="215"/>
      <c r="K252" s="27"/>
    </row>
    <row r="253" spans="1:11" x14ac:dyDescent="0.2">
      <c r="A253" s="223"/>
      <c r="B253" s="258"/>
      <c r="C253" s="27"/>
      <c r="D253" s="215"/>
      <c r="E253" s="27"/>
      <c r="F253" s="215"/>
      <c r="G253" s="27"/>
      <c r="H253" s="215"/>
      <c r="I253" s="27"/>
      <c r="J253" s="215"/>
      <c r="K253" s="27"/>
    </row>
    <row r="254" spans="1:11" x14ac:dyDescent="0.2">
      <c r="A254" s="223"/>
      <c r="B254" s="258"/>
      <c r="C254" s="27"/>
      <c r="D254" s="215"/>
      <c r="E254" s="27"/>
      <c r="F254" s="215"/>
      <c r="G254" s="27"/>
      <c r="H254" s="215"/>
      <c r="I254" s="27"/>
      <c r="J254" s="215"/>
      <c r="K254" s="27"/>
    </row>
    <row r="255" spans="1:11" x14ac:dyDescent="0.2">
      <c r="A255" s="223"/>
      <c r="B255" s="258"/>
      <c r="C255" s="27"/>
      <c r="D255" s="215"/>
      <c r="E255" s="27"/>
      <c r="F255" s="215"/>
      <c r="G255" s="27"/>
      <c r="H255" s="215"/>
      <c r="I255" s="27"/>
      <c r="J255" s="215"/>
      <c r="K255" s="27"/>
    </row>
    <row r="256" spans="1:11" x14ac:dyDescent="0.2">
      <c r="A256" s="223"/>
      <c r="B256" s="258"/>
      <c r="C256" s="27"/>
      <c r="D256" s="215"/>
      <c r="E256" s="27"/>
      <c r="F256" s="215"/>
      <c r="G256" s="27"/>
      <c r="H256" s="215"/>
      <c r="I256" s="27"/>
      <c r="J256" s="215"/>
      <c r="K256" s="27"/>
    </row>
    <row r="257" spans="1:11" x14ac:dyDescent="0.2">
      <c r="A257" s="223"/>
      <c r="B257" s="258"/>
      <c r="C257" s="27"/>
      <c r="D257" s="215"/>
      <c r="E257" s="27"/>
      <c r="F257" s="215"/>
      <c r="G257" s="27"/>
      <c r="H257" s="215"/>
      <c r="I257" s="27"/>
      <c r="J257" s="215"/>
      <c r="K257" s="27"/>
    </row>
    <row r="258" spans="1:11" x14ac:dyDescent="0.2">
      <c r="A258" s="223"/>
      <c r="B258" s="258"/>
      <c r="C258" s="27"/>
      <c r="D258" s="215"/>
      <c r="E258" s="27"/>
      <c r="F258" s="215"/>
      <c r="G258" s="27"/>
      <c r="H258" s="215"/>
      <c r="I258" s="27"/>
      <c r="J258" s="215"/>
      <c r="K258" s="27"/>
    </row>
    <row r="259" spans="1:11" x14ac:dyDescent="0.2">
      <c r="A259" s="223"/>
      <c r="B259" s="258"/>
      <c r="C259" s="27"/>
      <c r="D259" s="215"/>
      <c r="E259" s="27"/>
      <c r="F259" s="215"/>
      <c r="G259" s="27"/>
      <c r="H259" s="215"/>
      <c r="I259" s="27"/>
      <c r="J259" s="215"/>
      <c r="K259" s="27"/>
    </row>
    <row r="260" spans="1:11" x14ac:dyDescent="0.2">
      <c r="A260" s="223"/>
      <c r="B260" s="258"/>
      <c r="C260" s="27"/>
      <c r="D260" s="215"/>
      <c r="E260" s="27"/>
      <c r="F260" s="215"/>
      <c r="G260" s="27"/>
      <c r="H260" s="215"/>
      <c r="I260" s="27"/>
      <c r="J260" s="215"/>
      <c r="K260" s="27"/>
    </row>
    <row r="261" spans="1:11" x14ac:dyDescent="0.2">
      <c r="A261" s="223"/>
      <c r="B261" s="258"/>
      <c r="C261" s="27"/>
      <c r="D261" s="215"/>
      <c r="E261" s="27"/>
      <c r="F261" s="215"/>
      <c r="G261" s="27"/>
      <c r="H261" s="215"/>
      <c r="I261" s="27"/>
      <c r="J261" s="215"/>
      <c r="K261" s="27"/>
    </row>
    <row r="262" spans="1:11" x14ac:dyDescent="0.2">
      <c r="A262" s="223"/>
      <c r="B262" s="258"/>
      <c r="C262" s="27"/>
      <c r="D262" s="215"/>
      <c r="E262" s="27"/>
      <c r="F262" s="215"/>
      <c r="G262" s="27"/>
      <c r="H262" s="215"/>
      <c r="I262" s="27"/>
      <c r="J262" s="215"/>
      <c r="K262" s="27"/>
    </row>
    <row r="263" spans="1:11" x14ac:dyDescent="0.2">
      <c r="A263" s="223"/>
      <c r="B263" s="258"/>
      <c r="C263" s="27"/>
      <c r="D263" s="215"/>
      <c r="E263" s="27"/>
      <c r="F263" s="215"/>
      <c r="G263" s="27"/>
      <c r="H263" s="215"/>
      <c r="I263" s="27"/>
      <c r="J263" s="215"/>
      <c r="K263" s="27"/>
    </row>
    <row r="264" spans="1:11" x14ac:dyDescent="0.2">
      <c r="A264" s="223"/>
      <c r="B264" s="258"/>
      <c r="C264" s="27"/>
      <c r="D264" s="215"/>
      <c r="E264" s="27"/>
      <c r="F264" s="215"/>
      <c r="G264" s="27"/>
      <c r="H264" s="215"/>
      <c r="I264" s="27"/>
      <c r="J264" s="215"/>
      <c r="K264" s="27"/>
    </row>
    <row r="265" spans="1:11" x14ac:dyDescent="0.2">
      <c r="A265" s="223"/>
      <c r="B265" s="258"/>
      <c r="C265" s="27"/>
      <c r="D265" s="215"/>
      <c r="E265" s="27"/>
      <c r="F265" s="215"/>
      <c r="G265" s="27"/>
      <c r="H265" s="215"/>
      <c r="I265" s="27"/>
      <c r="J265" s="215"/>
      <c r="K265" s="27"/>
    </row>
    <row r="266" spans="1:11" x14ac:dyDescent="0.2">
      <c r="A266" s="223"/>
      <c r="B266" s="258"/>
      <c r="C266" s="27"/>
      <c r="D266" s="215"/>
      <c r="E266" s="27"/>
      <c r="F266" s="215"/>
      <c r="G266" s="27"/>
      <c r="H266" s="215"/>
      <c r="I266" s="27"/>
      <c r="J266" s="215"/>
      <c r="K266" s="27"/>
    </row>
    <row r="267" spans="1:11" x14ac:dyDescent="0.2">
      <c r="A267" s="223"/>
      <c r="B267" s="258"/>
      <c r="C267" s="27"/>
      <c r="D267" s="215"/>
      <c r="E267" s="27"/>
      <c r="F267" s="215"/>
      <c r="G267" s="27"/>
      <c r="H267" s="215"/>
      <c r="I267" s="27"/>
      <c r="J267" s="215"/>
      <c r="K267" s="27"/>
    </row>
    <row r="268" spans="1:11" x14ac:dyDescent="0.2">
      <c r="A268" s="223"/>
      <c r="B268" s="258"/>
      <c r="C268" s="27"/>
      <c r="D268" s="215"/>
      <c r="E268" s="27"/>
      <c r="F268" s="215"/>
      <c r="G268" s="27"/>
      <c r="H268" s="215"/>
      <c r="I268" s="27"/>
      <c r="J268" s="215"/>
      <c r="K268" s="27"/>
    </row>
    <row r="269" spans="1:11" x14ac:dyDescent="0.2">
      <c r="A269" s="223"/>
      <c r="B269" s="258"/>
      <c r="C269" s="27"/>
      <c r="D269" s="215"/>
      <c r="E269" s="27"/>
      <c r="F269" s="215"/>
      <c r="G269" s="27"/>
      <c r="H269" s="215"/>
      <c r="I269" s="27"/>
      <c r="J269" s="215"/>
      <c r="K269" s="27"/>
    </row>
    <row r="270" spans="1:11" x14ac:dyDescent="0.2">
      <c r="A270" s="223"/>
      <c r="B270" s="258"/>
      <c r="C270" s="27"/>
      <c r="D270" s="215"/>
      <c r="E270" s="27"/>
      <c r="F270" s="215"/>
      <c r="G270" s="27"/>
      <c r="H270" s="215"/>
      <c r="I270" s="27"/>
      <c r="J270" s="215"/>
      <c r="K270" s="27"/>
    </row>
    <row r="271" spans="1:11" x14ac:dyDescent="0.2">
      <c r="A271" s="223"/>
      <c r="B271" s="258"/>
      <c r="C271" s="27"/>
      <c r="D271" s="215"/>
      <c r="E271" s="27"/>
      <c r="F271" s="215"/>
      <c r="G271" s="27"/>
      <c r="H271" s="215"/>
      <c r="I271" s="27"/>
      <c r="J271" s="215"/>
      <c r="K271" s="27"/>
    </row>
    <row r="272" spans="1:11" x14ac:dyDescent="0.2">
      <c r="A272" s="223"/>
      <c r="B272" s="258"/>
      <c r="C272" s="27"/>
      <c r="D272" s="215"/>
      <c r="E272" s="27"/>
      <c r="F272" s="215"/>
      <c r="G272" s="27"/>
      <c r="H272" s="215"/>
      <c r="I272" s="27"/>
      <c r="J272" s="215"/>
      <c r="K272" s="27"/>
    </row>
    <row r="273" spans="1:11" x14ac:dyDescent="0.2">
      <c r="A273" s="223"/>
      <c r="B273" s="258"/>
      <c r="C273" s="27"/>
      <c r="D273" s="215"/>
      <c r="E273" s="27"/>
      <c r="F273" s="215"/>
      <c r="G273" s="27"/>
      <c r="H273" s="215"/>
      <c r="I273" s="27"/>
      <c r="J273" s="215"/>
      <c r="K273" s="27"/>
    </row>
    <row r="274" spans="1:11" x14ac:dyDescent="0.2">
      <c r="A274" s="223"/>
      <c r="B274" s="258"/>
      <c r="C274" s="27"/>
      <c r="D274" s="215"/>
      <c r="E274" s="27"/>
      <c r="F274" s="215"/>
      <c r="G274" s="27"/>
      <c r="H274" s="215"/>
      <c r="I274" s="27"/>
      <c r="J274" s="215"/>
      <c r="K274" s="27"/>
    </row>
    <row r="275" spans="1:11" x14ac:dyDescent="0.2">
      <c r="A275" s="223"/>
      <c r="B275" s="258"/>
      <c r="C275" s="27"/>
      <c r="D275" s="215"/>
      <c r="E275" s="27"/>
      <c r="F275" s="215"/>
      <c r="G275" s="27"/>
      <c r="H275" s="215"/>
      <c r="I275" s="27"/>
      <c r="J275" s="215"/>
      <c r="K275" s="27"/>
    </row>
    <row r="276" spans="1:11" x14ac:dyDescent="0.2">
      <c r="A276" s="223"/>
      <c r="B276" s="258"/>
      <c r="C276" s="27"/>
      <c r="D276" s="215"/>
      <c r="E276" s="27"/>
      <c r="F276" s="215"/>
      <c r="G276" s="27"/>
      <c r="H276" s="215"/>
      <c r="I276" s="27"/>
      <c r="J276" s="215"/>
      <c r="K276" s="27"/>
    </row>
    <row r="277" spans="1:11" x14ac:dyDescent="0.2">
      <c r="A277" s="223"/>
      <c r="B277" s="258"/>
      <c r="C277" s="27"/>
      <c r="D277" s="215"/>
      <c r="E277" s="27"/>
      <c r="F277" s="215"/>
      <c r="G277" s="27"/>
      <c r="H277" s="215"/>
      <c r="I277" s="27"/>
      <c r="J277" s="215"/>
      <c r="K277" s="27"/>
    </row>
    <row r="278" spans="1:11" x14ac:dyDescent="0.2">
      <c r="A278" s="223"/>
      <c r="B278" s="258"/>
      <c r="C278" s="27"/>
      <c r="D278" s="215"/>
      <c r="E278" s="27"/>
      <c r="F278" s="215"/>
      <c r="G278" s="27"/>
      <c r="H278" s="215"/>
      <c r="I278" s="27"/>
      <c r="J278" s="215"/>
      <c r="K278" s="27"/>
    </row>
    <row r="279" spans="1:11" x14ac:dyDescent="0.2">
      <c r="A279" s="223"/>
      <c r="B279" s="258"/>
      <c r="C279" s="27"/>
      <c r="D279" s="215"/>
      <c r="E279" s="27"/>
      <c r="F279" s="215"/>
      <c r="G279" s="27"/>
      <c r="H279" s="215"/>
      <c r="I279" s="27"/>
      <c r="J279" s="215"/>
      <c r="K279" s="27"/>
    </row>
    <row r="280" spans="1:11" x14ac:dyDescent="0.2">
      <c r="A280" s="223"/>
      <c r="B280" s="258"/>
      <c r="C280" s="27"/>
      <c r="D280" s="215"/>
      <c r="E280" s="27"/>
      <c r="F280" s="215"/>
      <c r="G280" s="27"/>
      <c r="H280" s="215"/>
      <c r="I280" s="27"/>
      <c r="J280" s="215"/>
      <c r="K280" s="27"/>
    </row>
    <row r="281" spans="1:11" x14ac:dyDescent="0.2">
      <c r="A281" s="223"/>
      <c r="B281" s="258"/>
      <c r="C281" s="27"/>
      <c r="D281" s="215"/>
      <c r="E281" s="27"/>
      <c r="F281" s="215"/>
      <c r="G281" s="27"/>
      <c r="H281" s="215"/>
      <c r="I281" s="27"/>
      <c r="J281" s="215"/>
      <c r="K281" s="27"/>
    </row>
    <row r="282" spans="1:11" x14ac:dyDescent="0.2">
      <c r="A282" s="223"/>
      <c r="B282" s="258"/>
      <c r="C282" s="27"/>
      <c r="D282" s="215"/>
      <c r="E282" s="27"/>
      <c r="F282" s="215"/>
      <c r="G282" s="27"/>
      <c r="H282" s="215"/>
      <c r="I282" s="27"/>
      <c r="J282" s="215"/>
      <c r="K282" s="27"/>
    </row>
    <row r="283" spans="1:11" x14ac:dyDescent="0.2">
      <c r="A283" s="223"/>
      <c r="B283" s="258"/>
      <c r="C283" s="27"/>
      <c r="D283" s="215"/>
      <c r="E283" s="27"/>
      <c r="F283" s="215"/>
      <c r="G283" s="27"/>
      <c r="H283" s="215"/>
      <c r="I283" s="27"/>
      <c r="J283" s="215"/>
      <c r="K283" s="27"/>
    </row>
    <row r="284" spans="1:11" x14ac:dyDescent="0.2">
      <c r="A284" s="223"/>
      <c r="B284" s="258"/>
      <c r="C284" s="27"/>
      <c r="D284" s="215"/>
      <c r="E284" s="27"/>
      <c r="F284" s="215"/>
      <c r="G284" s="27"/>
      <c r="H284" s="215"/>
      <c r="I284" s="27"/>
      <c r="J284" s="215"/>
      <c r="K284" s="27"/>
    </row>
    <row r="285" spans="1:11" x14ac:dyDescent="0.2">
      <c r="A285" s="223"/>
      <c r="B285" s="258"/>
      <c r="C285" s="27"/>
      <c r="D285" s="215"/>
      <c r="E285" s="27"/>
      <c r="F285" s="215"/>
      <c r="G285" s="27"/>
      <c r="H285" s="215"/>
      <c r="I285" s="27"/>
      <c r="J285" s="215"/>
      <c r="K285" s="27"/>
    </row>
    <row r="286" spans="1:11" x14ac:dyDescent="0.2">
      <c r="A286" s="223"/>
      <c r="B286" s="258"/>
      <c r="C286" s="27"/>
      <c r="D286" s="215"/>
      <c r="E286" s="27"/>
      <c r="F286" s="215"/>
      <c r="G286" s="27"/>
      <c r="H286" s="215"/>
      <c r="I286" s="27"/>
      <c r="J286" s="215"/>
      <c r="K286" s="27"/>
    </row>
    <row r="287" spans="1:11" x14ac:dyDescent="0.2">
      <c r="A287" s="223"/>
      <c r="B287" s="258"/>
      <c r="C287" s="27"/>
      <c r="D287" s="215"/>
      <c r="E287" s="27"/>
      <c r="F287" s="215"/>
      <c r="G287" s="27"/>
      <c r="H287" s="215"/>
      <c r="I287" s="27"/>
      <c r="J287" s="215"/>
      <c r="K287" s="27"/>
    </row>
    <row r="288" spans="1:11" x14ac:dyDescent="0.2">
      <c r="A288" s="223"/>
      <c r="B288" s="258"/>
      <c r="C288" s="27"/>
      <c r="D288" s="215"/>
      <c r="E288" s="27"/>
      <c r="F288" s="215"/>
      <c r="G288" s="27"/>
      <c r="H288" s="215"/>
      <c r="I288" s="27"/>
      <c r="J288" s="215"/>
      <c r="K288" s="27"/>
    </row>
    <row r="289" spans="1:11" x14ac:dyDescent="0.2">
      <c r="A289" s="223"/>
      <c r="B289" s="258"/>
      <c r="C289" s="27"/>
      <c r="D289" s="215"/>
      <c r="E289" s="27"/>
      <c r="F289" s="215"/>
      <c r="G289" s="27"/>
      <c r="H289" s="215"/>
      <c r="I289" s="27"/>
      <c r="J289" s="215"/>
      <c r="K289" s="27"/>
    </row>
    <row r="290" spans="1:11" x14ac:dyDescent="0.2">
      <c r="A290" s="223"/>
      <c r="B290" s="258"/>
      <c r="C290" s="27"/>
      <c r="D290" s="215"/>
      <c r="E290" s="27"/>
      <c r="F290" s="215"/>
      <c r="G290" s="27"/>
      <c r="H290" s="215"/>
      <c r="I290" s="27"/>
      <c r="J290" s="215"/>
      <c r="K290" s="27"/>
    </row>
    <row r="291" spans="1:11" x14ac:dyDescent="0.2">
      <c r="A291" s="223"/>
      <c r="B291" s="258"/>
      <c r="C291" s="27"/>
      <c r="D291" s="215"/>
      <c r="E291" s="27"/>
      <c r="F291" s="215"/>
      <c r="G291" s="27"/>
      <c r="H291" s="215"/>
      <c r="I291" s="27"/>
      <c r="J291" s="215"/>
      <c r="K291" s="27"/>
    </row>
    <row r="292" spans="1:11" x14ac:dyDescent="0.2">
      <c r="A292" s="223"/>
      <c r="B292" s="258"/>
      <c r="C292" s="27"/>
      <c r="D292" s="215"/>
      <c r="E292" s="27"/>
      <c r="F292" s="215"/>
      <c r="G292" s="27"/>
      <c r="H292" s="215"/>
      <c r="I292" s="27"/>
      <c r="J292" s="215"/>
      <c r="K292" s="27"/>
    </row>
    <row r="293" spans="1:11" x14ac:dyDescent="0.2">
      <c r="A293" s="223"/>
      <c r="B293" s="258"/>
      <c r="C293" s="27"/>
      <c r="D293" s="215"/>
      <c r="E293" s="27"/>
      <c r="F293" s="215"/>
      <c r="G293" s="27"/>
      <c r="H293" s="215"/>
      <c r="I293" s="27"/>
      <c r="J293" s="215"/>
      <c r="K293" s="27"/>
    </row>
    <row r="294" spans="1:11" x14ac:dyDescent="0.2">
      <c r="A294" s="223"/>
      <c r="B294" s="258"/>
      <c r="C294" s="27"/>
      <c r="D294" s="215"/>
      <c r="E294" s="27"/>
      <c r="F294" s="215"/>
      <c r="G294" s="27"/>
      <c r="H294" s="215"/>
      <c r="I294" s="27"/>
      <c r="J294" s="215"/>
      <c r="K294" s="27"/>
    </row>
    <row r="295" spans="1:11" x14ac:dyDescent="0.2">
      <c r="A295" s="223"/>
      <c r="B295" s="258"/>
      <c r="C295" s="27"/>
      <c r="D295" s="215"/>
      <c r="E295" s="27"/>
      <c r="F295" s="215"/>
      <c r="G295" s="27"/>
      <c r="H295" s="215"/>
      <c r="I295" s="27"/>
      <c r="J295" s="215"/>
      <c r="K295" s="27"/>
    </row>
    <row r="296" spans="1:11" x14ac:dyDescent="0.2">
      <c r="A296" s="223"/>
      <c r="B296" s="258"/>
      <c r="C296" s="27"/>
      <c r="D296" s="215"/>
      <c r="E296" s="27"/>
      <c r="F296" s="215"/>
      <c r="G296" s="27"/>
      <c r="H296" s="215"/>
      <c r="I296" s="27"/>
      <c r="J296" s="215"/>
      <c r="K296" s="27"/>
    </row>
    <row r="297" spans="1:11" x14ac:dyDescent="0.2">
      <c r="A297" s="223"/>
      <c r="B297" s="258"/>
      <c r="C297" s="27"/>
      <c r="D297" s="215"/>
      <c r="E297" s="27"/>
      <c r="F297" s="215"/>
      <c r="G297" s="27"/>
      <c r="H297" s="215"/>
      <c r="I297" s="27"/>
      <c r="J297" s="215"/>
      <c r="K297" s="27"/>
    </row>
    <row r="298" spans="1:11" x14ac:dyDescent="0.2">
      <c r="A298" s="223"/>
      <c r="B298" s="258"/>
      <c r="C298" s="27"/>
      <c r="D298" s="215"/>
      <c r="E298" s="27"/>
      <c r="F298" s="215"/>
      <c r="G298" s="27"/>
      <c r="H298" s="215"/>
      <c r="I298" s="27"/>
      <c r="J298" s="215"/>
      <c r="K298" s="27"/>
    </row>
    <row r="299" spans="1:11" x14ac:dyDescent="0.2">
      <c r="A299" s="223"/>
      <c r="B299" s="258"/>
      <c r="C299" s="27"/>
      <c r="D299" s="215"/>
      <c r="E299" s="27"/>
      <c r="F299" s="215"/>
      <c r="G299" s="27"/>
      <c r="H299" s="215"/>
      <c r="I299" s="27"/>
      <c r="J299" s="215"/>
      <c r="K299" s="27"/>
    </row>
    <row r="300" spans="1:11" x14ac:dyDescent="0.2">
      <c r="A300" s="223"/>
      <c r="B300" s="258"/>
      <c r="C300" s="27"/>
      <c r="D300" s="215"/>
      <c r="E300" s="27"/>
      <c r="F300" s="215"/>
      <c r="G300" s="27"/>
      <c r="H300" s="215"/>
      <c r="I300" s="27"/>
      <c r="J300" s="215"/>
      <c r="K300" s="27"/>
    </row>
    <row r="301" spans="1:11" x14ac:dyDescent="0.2">
      <c r="A301" s="223"/>
      <c r="B301" s="258"/>
      <c r="C301" s="27"/>
      <c r="D301" s="215"/>
      <c r="E301" s="27"/>
      <c r="F301" s="215"/>
      <c r="G301" s="27"/>
      <c r="H301" s="215"/>
      <c r="I301" s="27"/>
      <c r="J301" s="215"/>
      <c r="K301" s="27"/>
    </row>
    <row r="302" spans="1:11" x14ac:dyDescent="0.2">
      <c r="A302" s="223"/>
      <c r="B302" s="258"/>
      <c r="C302" s="27"/>
      <c r="D302" s="215"/>
      <c r="E302" s="27"/>
      <c r="F302" s="215"/>
      <c r="G302" s="27"/>
      <c r="H302" s="215"/>
      <c r="I302" s="27"/>
      <c r="J302" s="215"/>
      <c r="K302" s="27"/>
    </row>
    <row r="303" spans="1:11" x14ac:dyDescent="0.2">
      <c r="A303" s="223"/>
      <c r="B303" s="258"/>
      <c r="C303" s="27"/>
      <c r="D303" s="215"/>
      <c r="E303" s="27"/>
      <c r="F303" s="215"/>
      <c r="G303" s="27"/>
      <c r="H303" s="215"/>
      <c r="I303" s="27"/>
      <c r="J303" s="215"/>
      <c r="K303" s="27"/>
    </row>
    <row r="304" spans="1:11" x14ac:dyDescent="0.2">
      <c r="A304" s="223"/>
      <c r="B304" s="258"/>
      <c r="C304" s="27"/>
      <c r="D304" s="215"/>
      <c r="E304" s="27"/>
      <c r="F304" s="215"/>
      <c r="G304" s="27"/>
      <c r="H304" s="215"/>
      <c r="I304" s="27"/>
      <c r="J304" s="215"/>
      <c r="K304" s="27"/>
    </row>
    <row r="305" spans="1:11" x14ac:dyDescent="0.2">
      <c r="A305" s="223"/>
      <c r="B305" s="258"/>
      <c r="C305" s="27"/>
      <c r="D305" s="215"/>
      <c r="E305" s="27"/>
      <c r="F305" s="215"/>
      <c r="G305" s="27"/>
      <c r="H305" s="215"/>
      <c r="I305" s="27"/>
      <c r="J305" s="215"/>
      <c r="K305" s="27"/>
    </row>
    <row r="306" spans="1:11" x14ac:dyDescent="0.2">
      <c r="A306" s="223"/>
      <c r="B306" s="258"/>
      <c r="C306" s="27"/>
      <c r="D306" s="215"/>
      <c r="E306" s="27"/>
      <c r="F306" s="215"/>
      <c r="G306" s="27"/>
      <c r="H306" s="215"/>
      <c r="I306" s="27"/>
      <c r="J306" s="215"/>
      <c r="K306" s="27"/>
    </row>
    <row r="307" spans="1:11" x14ac:dyDescent="0.2">
      <c r="A307" s="223"/>
      <c r="B307" s="258"/>
      <c r="C307" s="27"/>
      <c r="D307" s="215"/>
      <c r="E307" s="27"/>
      <c r="F307" s="215"/>
      <c r="G307" s="27"/>
      <c r="H307" s="215"/>
      <c r="I307" s="27"/>
      <c r="J307" s="215"/>
      <c r="K307" s="27"/>
    </row>
    <row r="308" spans="1:11" x14ac:dyDescent="0.2">
      <c r="A308" s="223"/>
      <c r="B308" s="258"/>
      <c r="C308" s="27"/>
      <c r="D308" s="215"/>
      <c r="E308" s="27"/>
      <c r="F308" s="215"/>
      <c r="G308" s="27"/>
      <c r="H308" s="215"/>
      <c r="I308" s="27"/>
      <c r="J308" s="215"/>
      <c r="K308" s="27"/>
    </row>
    <row r="309" spans="1:11" x14ac:dyDescent="0.2">
      <c r="A309" s="223"/>
      <c r="B309" s="258"/>
      <c r="C309" s="27"/>
      <c r="D309" s="215"/>
      <c r="E309" s="27"/>
      <c r="F309" s="215"/>
      <c r="G309" s="27"/>
      <c r="H309" s="215"/>
      <c r="I309" s="27"/>
      <c r="J309" s="215"/>
      <c r="K309" s="27"/>
    </row>
    <row r="310" spans="1:11" x14ac:dyDescent="0.2">
      <c r="A310" s="223"/>
      <c r="B310" s="258"/>
      <c r="C310" s="27"/>
      <c r="D310" s="215"/>
      <c r="E310" s="27"/>
      <c r="F310" s="215"/>
      <c r="G310" s="27"/>
      <c r="H310" s="215"/>
      <c r="I310" s="27"/>
      <c r="J310" s="215"/>
      <c r="K310" s="27"/>
    </row>
    <row r="311" spans="1:11" x14ac:dyDescent="0.2">
      <c r="A311" s="223"/>
      <c r="B311" s="258"/>
      <c r="C311" s="27"/>
      <c r="D311" s="215"/>
      <c r="E311" s="27"/>
      <c r="F311" s="215"/>
      <c r="G311" s="27"/>
      <c r="H311" s="215"/>
      <c r="I311" s="27"/>
      <c r="J311" s="215"/>
      <c r="K311" s="27"/>
    </row>
    <row r="312" spans="1:11" x14ac:dyDescent="0.2">
      <c r="A312" s="223"/>
      <c r="B312" s="258"/>
      <c r="C312" s="27"/>
      <c r="D312" s="215"/>
      <c r="E312" s="27"/>
      <c r="F312" s="215"/>
      <c r="G312" s="27"/>
      <c r="H312" s="215"/>
      <c r="I312" s="27"/>
      <c r="J312" s="215"/>
      <c r="K312" s="27"/>
    </row>
    <row r="313" spans="1:11" x14ac:dyDescent="0.2">
      <c r="A313" s="223"/>
      <c r="B313" s="258"/>
      <c r="C313" s="27"/>
      <c r="D313" s="215"/>
      <c r="E313" s="27"/>
      <c r="F313" s="215"/>
      <c r="G313" s="27"/>
      <c r="H313" s="215"/>
      <c r="I313" s="27"/>
      <c r="J313" s="215"/>
      <c r="K313" s="27"/>
    </row>
    <row r="314" spans="1:11" x14ac:dyDescent="0.2">
      <c r="A314" s="223"/>
      <c r="B314" s="258"/>
      <c r="C314" s="27"/>
      <c r="D314" s="215"/>
      <c r="E314" s="27"/>
      <c r="F314" s="215"/>
      <c r="G314" s="27"/>
      <c r="H314" s="215"/>
      <c r="I314" s="27"/>
      <c r="J314" s="215"/>
      <c r="K314" s="27"/>
    </row>
    <row r="315" spans="1:11" x14ac:dyDescent="0.2">
      <c r="A315" s="223"/>
      <c r="B315" s="258"/>
      <c r="C315" s="27"/>
      <c r="D315" s="215"/>
      <c r="E315" s="27"/>
      <c r="F315" s="215"/>
      <c r="G315" s="27"/>
      <c r="H315" s="215"/>
      <c r="I315" s="27"/>
      <c r="J315" s="215"/>
      <c r="K315" s="27"/>
    </row>
    <row r="316" spans="1:11" x14ac:dyDescent="0.2">
      <c r="A316" s="223"/>
      <c r="B316" s="258"/>
      <c r="C316" s="27"/>
      <c r="D316" s="215"/>
      <c r="E316" s="27"/>
      <c r="F316" s="215"/>
      <c r="G316" s="27"/>
      <c r="H316" s="215"/>
      <c r="I316" s="27"/>
      <c r="J316" s="215"/>
      <c r="K316" s="27"/>
    </row>
    <row r="317" spans="1:11" x14ac:dyDescent="0.2">
      <c r="A317" s="223"/>
      <c r="B317" s="258"/>
      <c r="C317" s="27"/>
      <c r="D317" s="215"/>
      <c r="E317" s="27"/>
      <c r="F317" s="215"/>
      <c r="G317" s="27"/>
      <c r="H317" s="215"/>
      <c r="I317" s="27"/>
      <c r="J317" s="215"/>
      <c r="K317" s="27"/>
    </row>
    <row r="318" spans="1:11" x14ac:dyDescent="0.2">
      <c r="A318" s="223"/>
      <c r="B318" s="258"/>
      <c r="C318" s="27"/>
      <c r="D318" s="215"/>
      <c r="E318" s="27"/>
      <c r="F318" s="215"/>
      <c r="G318" s="27"/>
      <c r="H318" s="215"/>
      <c r="I318" s="27"/>
      <c r="J318" s="215"/>
      <c r="K318" s="27"/>
    </row>
    <row r="319" spans="1:11" x14ac:dyDescent="0.2">
      <c r="A319" s="223"/>
      <c r="B319" s="258"/>
      <c r="C319" s="27"/>
      <c r="D319" s="215"/>
      <c r="E319" s="27"/>
      <c r="F319" s="215"/>
      <c r="G319" s="27"/>
      <c r="H319" s="215"/>
      <c r="I319" s="27"/>
      <c r="J319" s="215"/>
      <c r="K319" s="27"/>
    </row>
    <row r="320" spans="1:11" x14ac:dyDescent="0.2">
      <c r="A320" s="223"/>
      <c r="B320" s="258"/>
      <c r="C320" s="27"/>
      <c r="D320" s="215"/>
      <c r="E320" s="27"/>
      <c r="F320" s="215"/>
      <c r="G320" s="27"/>
      <c r="H320" s="215"/>
      <c r="I320" s="27"/>
      <c r="J320" s="215"/>
      <c r="K320" s="27"/>
    </row>
    <row r="321" spans="1:11" x14ac:dyDescent="0.2">
      <c r="A321" s="223"/>
      <c r="B321" s="258"/>
      <c r="C321" s="27"/>
      <c r="D321" s="215"/>
      <c r="E321" s="27"/>
      <c r="F321" s="215"/>
      <c r="G321" s="27"/>
      <c r="H321" s="215"/>
      <c r="I321" s="27"/>
      <c r="J321" s="215"/>
      <c r="K321" s="27"/>
    </row>
    <row r="322" spans="1:11" x14ac:dyDescent="0.2">
      <c r="A322" s="223"/>
      <c r="B322" s="258"/>
      <c r="C322" s="27"/>
      <c r="D322" s="215"/>
      <c r="E322" s="27"/>
      <c r="F322" s="215"/>
      <c r="G322" s="27"/>
      <c r="H322" s="215"/>
      <c r="I322" s="27"/>
      <c r="J322" s="215"/>
      <c r="K322" s="27"/>
    </row>
    <row r="323" spans="1:11" x14ac:dyDescent="0.2">
      <c r="A323" s="223"/>
      <c r="B323" s="258"/>
      <c r="C323" s="27"/>
      <c r="D323" s="215"/>
      <c r="E323" s="27"/>
      <c r="F323" s="215"/>
      <c r="G323" s="27"/>
      <c r="H323" s="215"/>
      <c r="I323" s="27"/>
      <c r="J323" s="215"/>
      <c r="K323" s="27"/>
    </row>
    <row r="324" spans="1:11" x14ac:dyDescent="0.2">
      <c r="A324" s="223"/>
      <c r="B324" s="258"/>
      <c r="C324" s="27"/>
      <c r="D324" s="215"/>
      <c r="E324" s="27"/>
      <c r="F324" s="215"/>
      <c r="G324" s="27"/>
      <c r="H324" s="215"/>
      <c r="I324" s="27"/>
      <c r="J324" s="215"/>
      <c r="K324" s="27"/>
    </row>
    <row r="325" spans="1:11" x14ac:dyDescent="0.2">
      <c r="A325" s="223"/>
      <c r="B325" s="258"/>
      <c r="C325" s="27"/>
      <c r="D325" s="215"/>
      <c r="E325" s="27"/>
      <c r="F325" s="215"/>
      <c r="G325" s="27"/>
      <c r="H325" s="215"/>
      <c r="I325" s="27"/>
      <c r="J325" s="215"/>
      <c r="K325" s="27"/>
    </row>
    <row r="326" spans="1:11" x14ac:dyDescent="0.2">
      <c r="A326" s="223"/>
      <c r="B326" s="258"/>
      <c r="C326" s="27"/>
      <c r="D326" s="215"/>
      <c r="E326" s="27"/>
      <c r="F326" s="215"/>
      <c r="G326" s="27"/>
      <c r="H326" s="215"/>
      <c r="I326" s="27"/>
      <c r="J326" s="215"/>
      <c r="K326" s="27"/>
    </row>
    <row r="327" spans="1:11" x14ac:dyDescent="0.2">
      <c r="A327" s="223"/>
      <c r="B327" s="258"/>
      <c r="C327" s="27"/>
      <c r="D327" s="215"/>
      <c r="E327" s="27"/>
      <c r="F327" s="215"/>
      <c r="G327" s="27"/>
      <c r="H327" s="215"/>
      <c r="I327" s="27"/>
      <c r="J327" s="215"/>
      <c r="K327" s="27"/>
    </row>
    <row r="328" spans="1:11" x14ac:dyDescent="0.2">
      <c r="A328" s="223"/>
      <c r="B328" s="258"/>
      <c r="C328" s="27"/>
      <c r="D328" s="215"/>
      <c r="E328" s="27"/>
      <c r="F328" s="215"/>
      <c r="G328" s="27"/>
      <c r="H328" s="215"/>
      <c r="I328" s="27"/>
      <c r="J328" s="215"/>
      <c r="K328" s="27"/>
    </row>
    <row r="329" spans="1:11" x14ac:dyDescent="0.2">
      <c r="A329" s="223"/>
      <c r="B329" s="258"/>
      <c r="C329" s="27"/>
      <c r="D329" s="215"/>
      <c r="E329" s="27"/>
      <c r="F329" s="215"/>
      <c r="G329" s="27"/>
      <c r="H329" s="215"/>
      <c r="I329" s="27"/>
      <c r="J329" s="215"/>
      <c r="K329" s="27"/>
    </row>
    <row r="330" spans="1:11" x14ac:dyDescent="0.2">
      <c r="A330" s="223"/>
      <c r="B330" s="258"/>
      <c r="C330" s="27"/>
      <c r="D330" s="215"/>
      <c r="E330" s="27"/>
      <c r="F330" s="215"/>
      <c r="G330" s="27"/>
      <c r="H330" s="215"/>
      <c r="I330" s="27"/>
      <c r="J330" s="215"/>
      <c r="K330" s="27"/>
    </row>
    <row r="331" spans="1:11" x14ac:dyDescent="0.2">
      <c r="A331" s="223"/>
      <c r="B331" s="258"/>
      <c r="C331" s="27"/>
      <c r="D331" s="215"/>
      <c r="E331" s="27"/>
      <c r="F331" s="215"/>
      <c r="G331" s="27"/>
      <c r="H331" s="215"/>
      <c r="I331" s="27"/>
      <c r="J331" s="215"/>
      <c r="K331" s="27"/>
    </row>
    <row r="332" spans="1:11" x14ac:dyDescent="0.2">
      <c r="A332" s="223"/>
      <c r="B332" s="258"/>
      <c r="C332" s="27"/>
      <c r="D332" s="215"/>
      <c r="E332" s="27"/>
      <c r="F332" s="215"/>
      <c r="G332" s="27"/>
      <c r="H332" s="215"/>
      <c r="I332" s="27"/>
      <c r="J332" s="215"/>
      <c r="K332" s="27"/>
    </row>
    <row r="333" spans="1:11" x14ac:dyDescent="0.2">
      <c r="A333" s="223"/>
      <c r="B333" s="258"/>
      <c r="C333" s="27"/>
      <c r="D333" s="215"/>
      <c r="E333" s="27"/>
      <c r="F333" s="215"/>
      <c r="G333" s="27"/>
      <c r="H333" s="215"/>
      <c r="I333" s="27"/>
      <c r="J333" s="215"/>
      <c r="K333" s="27"/>
    </row>
    <row r="334" spans="1:11" x14ac:dyDescent="0.2">
      <c r="A334" s="223"/>
      <c r="B334" s="258"/>
      <c r="C334" s="27"/>
      <c r="D334" s="215"/>
      <c r="E334" s="27"/>
      <c r="F334" s="215"/>
      <c r="G334" s="27"/>
      <c r="H334" s="215"/>
      <c r="I334" s="27"/>
      <c r="J334" s="215"/>
      <c r="K334" s="27"/>
    </row>
    <row r="335" spans="1:11" x14ac:dyDescent="0.2">
      <c r="A335" s="223"/>
      <c r="B335" s="258"/>
      <c r="C335" s="27"/>
      <c r="D335" s="215"/>
      <c r="E335" s="27"/>
      <c r="F335" s="215"/>
      <c r="G335" s="27"/>
      <c r="H335" s="215"/>
      <c r="I335" s="27"/>
      <c r="J335" s="215"/>
      <c r="K335" s="27"/>
    </row>
    <row r="336" spans="1:11" x14ac:dyDescent="0.2">
      <c r="A336" s="223"/>
      <c r="B336" s="258"/>
      <c r="C336" s="27"/>
      <c r="D336" s="215"/>
      <c r="E336" s="27"/>
      <c r="F336" s="215"/>
      <c r="G336" s="27"/>
      <c r="H336" s="215"/>
      <c r="I336" s="27"/>
      <c r="J336" s="215"/>
      <c r="K336" s="27"/>
    </row>
    <row r="337" spans="1:11" x14ac:dyDescent="0.2">
      <c r="A337" s="223"/>
      <c r="B337" s="258"/>
      <c r="C337" s="27"/>
      <c r="D337" s="215"/>
      <c r="E337" s="27"/>
      <c r="F337" s="215"/>
      <c r="G337" s="27"/>
      <c r="H337" s="215"/>
      <c r="I337" s="27"/>
      <c r="J337" s="215"/>
      <c r="K337" s="27"/>
    </row>
    <row r="338" spans="1:11" x14ac:dyDescent="0.2">
      <c r="A338" s="223"/>
      <c r="B338" s="258"/>
      <c r="C338" s="27"/>
      <c r="D338" s="215"/>
      <c r="E338" s="27"/>
      <c r="F338" s="215"/>
      <c r="G338" s="27"/>
      <c r="H338" s="215"/>
      <c r="I338" s="27"/>
      <c r="J338" s="215"/>
      <c r="K338" s="27"/>
    </row>
    <row r="339" spans="1:11" x14ac:dyDescent="0.2">
      <c r="A339" s="223"/>
      <c r="B339" s="258"/>
      <c r="C339" s="27"/>
      <c r="D339" s="215"/>
      <c r="E339" s="27"/>
      <c r="F339" s="215"/>
      <c r="G339" s="27"/>
      <c r="H339" s="215"/>
      <c r="I339" s="27"/>
      <c r="J339" s="215"/>
      <c r="K339" s="27"/>
    </row>
    <row r="340" spans="1:11" x14ac:dyDescent="0.2">
      <c r="A340" s="223"/>
      <c r="B340" s="258"/>
      <c r="C340" s="27"/>
      <c r="D340" s="215"/>
      <c r="E340" s="27"/>
      <c r="F340" s="215"/>
      <c r="G340" s="27"/>
      <c r="H340" s="215"/>
      <c r="I340" s="27"/>
      <c r="J340" s="215"/>
      <c r="K340" s="27"/>
    </row>
    <row r="341" spans="1:11" x14ac:dyDescent="0.2">
      <c r="A341" s="223"/>
      <c r="B341" s="258"/>
      <c r="C341" s="27"/>
      <c r="D341" s="215"/>
      <c r="E341" s="27"/>
      <c r="F341" s="215"/>
      <c r="G341" s="27"/>
      <c r="H341" s="215"/>
      <c r="I341" s="27"/>
      <c r="J341" s="215"/>
      <c r="K341" s="27"/>
    </row>
    <row r="342" spans="1:11" x14ac:dyDescent="0.2">
      <c r="A342" s="223"/>
      <c r="B342" s="258"/>
      <c r="C342" s="27"/>
      <c r="D342" s="215"/>
      <c r="E342" s="27"/>
      <c r="F342" s="215"/>
      <c r="G342" s="27"/>
      <c r="H342" s="215"/>
      <c r="I342" s="27"/>
      <c r="J342" s="215"/>
      <c r="K342" s="27"/>
    </row>
    <row r="343" spans="1:11" x14ac:dyDescent="0.2">
      <c r="A343" s="223"/>
      <c r="B343" s="258"/>
      <c r="C343" s="27"/>
      <c r="D343" s="215"/>
      <c r="E343" s="27"/>
      <c r="F343" s="215"/>
      <c r="G343" s="27"/>
      <c r="H343" s="215"/>
      <c r="I343" s="27"/>
      <c r="J343" s="215"/>
      <c r="K343" s="27"/>
    </row>
    <row r="344" spans="1:11" x14ac:dyDescent="0.2">
      <c r="A344" s="223"/>
      <c r="B344" s="258"/>
      <c r="C344" s="27"/>
      <c r="D344" s="215"/>
      <c r="E344" s="27"/>
      <c r="F344" s="215"/>
      <c r="G344" s="27"/>
      <c r="H344" s="215"/>
      <c r="I344" s="27"/>
      <c r="J344" s="215"/>
      <c r="K344" s="27"/>
    </row>
    <row r="345" spans="1:11" x14ac:dyDescent="0.2">
      <c r="A345" s="223"/>
      <c r="B345" s="258"/>
      <c r="C345" s="27"/>
      <c r="D345" s="215"/>
      <c r="E345" s="27"/>
      <c r="F345" s="215"/>
      <c r="G345" s="27"/>
      <c r="H345" s="215"/>
      <c r="I345" s="27"/>
      <c r="J345" s="215"/>
      <c r="K345" s="27"/>
    </row>
    <row r="346" spans="1:11" x14ac:dyDescent="0.2">
      <c r="A346" s="223"/>
      <c r="B346" s="258"/>
      <c r="C346" s="27"/>
      <c r="D346" s="215"/>
      <c r="E346" s="27"/>
      <c r="F346" s="215"/>
      <c r="G346" s="27"/>
      <c r="H346" s="215"/>
      <c r="I346" s="27"/>
      <c r="J346" s="215"/>
      <c r="K346" s="27"/>
    </row>
    <row r="347" spans="1:11" x14ac:dyDescent="0.2">
      <c r="A347" s="223"/>
      <c r="B347" s="258"/>
      <c r="C347" s="27"/>
      <c r="D347" s="215"/>
      <c r="E347" s="27"/>
      <c r="F347" s="215"/>
      <c r="G347" s="27"/>
      <c r="H347" s="215"/>
      <c r="I347" s="27"/>
      <c r="J347" s="215"/>
      <c r="K347" s="27"/>
    </row>
    <row r="348" spans="1:11" x14ac:dyDescent="0.2">
      <c r="A348" s="223"/>
      <c r="B348" s="258"/>
      <c r="C348" s="27"/>
      <c r="D348" s="215"/>
      <c r="E348" s="27"/>
      <c r="F348" s="215"/>
      <c r="G348" s="27"/>
      <c r="H348" s="215"/>
      <c r="I348" s="27"/>
      <c r="J348" s="215"/>
      <c r="K348" s="27"/>
    </row>
    <row r="349" spans="1:11" x14ac:dyDescent="0.2">
      <c r="A349" s="223"/>
      <c r="B349" s="258"/>
      <c r="C349" s="27"/>
      <c r="D349" s="215"/>
      <c r="E349" s="27"/>
      <c r="F349" s="215"/>
      <c r="G349" s="27"/>
      <c r="H349" s="215"/>
      <c r="I349" s="27"/>
      <c r="J349" s="215"/>
      <c r="K349" s="27"/>
    </row>
    <row r="350" spans="1:11" x14ac:dyDescent="0.2">
      <c r="A350" s="223"/>
      <c r="B350" s="258"/>
      <c r="C350" s="27"/>
      <c r="D350" s="215"/>
      <c r="E350" s="27"/>
      <c r="F350" s="215"/>
      <c r="G350" s="27"/>
      <c r="H350" s="215"/>
      <c r="I350" s="27"/>
      <c r="J350" s="215"/>
      <c r="K350" s="27"/>
    </row>
    <row r="351" spans="1:11" x14ac:dyDescent="0.2">
      <c r="A351" s="223"/>
      <c r="B351" s="258"/>
      <c r="C351" s="27"/>
      <c r="D351" s="215"/>
      <c r="E351" s="27"/>
      <c r="F351" s="215"/>
      <c r="G351" s="27"/>
      <c r="H351" s="215"/>
      <c r="I351" s="27"/>
      <c r="J351" s="215"/>
      <c r="K351" s="27"/>
    </row>
    <row r="352" spans="1:11" x14ac:dyDescent="0.2">
      <c r="A352" s="223"/>
      <c r="B352" s="258"/>
      <c r="C352" s="27"/>
      <c r="D352" s="215"/>
      <c r="E352" s="27"/>
      <c r="F352" s="215"/>
      <c r="G352" s="27"/>
      <c r="H352" s="215"/>
      <c r="I352" s="27"/>
      <c r="J352" s="215"/>
      <c r="K352" s="27"/>
    </row>
    <row r="353" spans="1:11" x14ac:dyDescent="0.2">
      <c r="A353" s="223"/>
      <c r="B353" s="258"/>
      <c r="C353" s="27"/>
      <c r="D353" s="215"/>
      <c r="E353" s="27"/>
      <c r="F353" s="215"/>
      <c r="G353" s="27"/>
      <c r="H353" s="215"/>
      <c r="I353" s="27"/>
      <c r="J353" s="215"/>
      <c r="K353" s="27"/>
    </row>
    <row r="354" spans="1:11" x14ac:dyDescent="0.2">
      <c r="A354" s="223"/>
      <c r="B354" s="258"/>
      <c r="C354" s="27"/>
      <c r="D354" s="215"/>
      <c r="E354" s="27"/>
      <c r="F354" s="215"/>
      <c r="G354" s="27"/>
      <c r="H354" s="215"/>
      <c r="I354" s="27"/>
      <c r="J354" s="215"/>
      <c r="K354" s="27"/>
    </row>
    <row r="355" spans="1:11" x14ac:dyDescent="0.2">
      <c r="A355" s="223"/>
      <c r="B355" s="258"/>
      <c r="C355" s="27"/>
      <c r="D355" s="215"/>
      <c r="E355" s="27"/>
      <c r="F355" s="215"/>
      <c r="G355" s="27"/>
      <c r="H355" s="215"/>
      <c r="I355" s="27"/>
      <c r="J355" s="215"/>
      <c r="K355" s="27"/>
    </row>
    <row r="356" spans="1:11" x14ac:dyDescent="0.2">
      <c r="A356" s="223"/>
      <c r="B356" s="258"/>
      <c r="C356" s="27"/>
      <c r="D356" s="215"/>
      <c r="E356" s="27"/>
      <c r="F356" s="215"/>
      <c r="G356" s="27"/>
      <c r="H356" s="215"/>
      <c r="I356" s="27"/>
      <c r="J356" s="215"/>
      <c r="K356" s="27"/>
    </row>
    <row r="357" spans="1:11" x14ac:dyDescent="0.2">
      <c r="A357" s="223"/>
      <c r="B357" s="258"/>
      <c r="C357" s="27"/>
      <c r="D357" s="215"/>
      <c r="E357" s="27"/>
      <c r="F357" s="215"/>
      <c r="G357" s="27"/>
      <c r="H357" s="215"/>
      <c r="I357" s="27"/>
      <c r="J357" s="215"/>
      <c r="K357" s="27"/>
    </row>
    <row r="358" spans="1:11" x14ac:dyDescent="0.2">
      <c r="A358" s="223"/>
      <c r="B358" s="258"/>
      <c r="C358" s="27"/>
      <c r="D358" s="215"/>
      <c r="E358" s="27"/>
      <c r="F358" s="215"/>
      <c r="G358" s="27"/>
      <c r="H358" s="215"/>
      <c r="I358" s="27"/>
      <c r="J358" s="215"/>
      <c r="K358" s="27"/>
    </row>
    <row r="359" spans="1:11" x14ac:dyDescent="0.2">
      <c r="A359" s="223"/>
      <c r="B359" s="258"/>
      <c r="C359" s="27"/>
      <c r="D359" s="215"/>
      <c r="E359" s="27"/>
      <c r="F359" s="215"/>
      <c r="G359" s="27"/>
      <c r="H359" s="215"/>
      <c r="I359" s="27"/>
      <c r="J359" s="215"/>
      <c r="K359" s="27"/>
    </row>
    <row r="360" spans="1:11" x14ac:dyDescent="0.2">
      <c r="A360" s="223"/>
      <c r="B360" s="258"/>
      <c r="C360" s="27"/>
      <c r="D360" s="215"/>
      <c r="E360" s="27"/>
      <c r="F360" s="215"/>
      <c r="G360" s="27"/>
      <c r="H360" s="215"/>
      <c r="I360" s="27"/>
      <c r="J360" s="215"/>
      <c r="K360" s="27"/>
    </row>
    <row r="361" spans="1:11" x14ac:dyDescent="0.2">
      <c r="A361" s="223"/>
      <c r="B361" s="258"/>
      <c r="C361" s="27"/>
      <c r="D361" s="215"/>
      <c r="E361" s="27"/>
      <c r="F361" s="215"/>
      <c r="G361" s="27"/>
      <c r="H361" s="215"/>
      <c r="I361" s="27"/>
      <c r="J361" s="215"/>
      <c r="K361" s="27"/>
    </row>
    <row r="362" spans="1:11" x14ac:dyDescent="0.2">
      <c r="A362" s="223"/>
      <c r="B362" s="258"/>
      <c r="C362" s="27"/>
      <c r="D362" s="215"/>
      <c r="E362" s="27"/>
      <c r="F362" s="215"/>
      <c r="G362" s="27"/>
      <c r="H362" s="215"/>
      <c r="I362" s="27"/>
      <c r="J362" s="215"/>
      <c r="K362" s="27"/>
    </row>
    <row r="363" spans="1:11" x14ac:dyDescent="0.2">
      <c r="A363" s="223"/>
      <c r="B363" s="258"/>
      <c r="C363" s="27"/>
      <c r="D363" s="215"/>
      <c r="E363" s="27"/>
      <c r="F363" s="215"/>
      <c r="G363" s="27"/>
      <c r="H363" s="215"/>
      <c r="I363" s="27"/>
      <c r="J363" s="215"/>
      <c r="K363" s="27"/>
    </row>
    <row r="364" spans="1:11" x14ac:dyDescent="0.2">
      <c r="A364" s="223"/>
      <c r="B364" s="258"/>
      <c r="C364" s="27"/>
      <c r="D364" s="215"/>
      <c r="E364" s="27"/>
      <c r="F364" s="215"/>
      <c r="G364" s="27"/>
      <c r="H364" s="215"/>
      <c r="I364" s="27"/>
      <c r="J364" s="215"/>
      <c r="K364" s="27"/>
    </row>
    <row r="365" spans="1:11" x14ac:dyDescent="0.2">
      <c r="A365" s="223"/>
      <c r="B365" s="258"/>
      <c r="C365" s="27"/>
      <c r="D365" s="215"/>
      <c r="E365" s="27"/>
      <c r="F365" s="215"/>
      <c r="G365" s="27"/>
      <c r="H365" s="215"/>
      <c r="I365" s="27"/>
      <c r="J365" s="215"/>
      <c r="K365" s="27"/>
    </row>
    <row r="366" spans="1:11" x14ac:dyDescent="0.2">
      <c r="A366" s="223"/>
      <c r="B366" s="258"/>
      <c r="C366" s="27"/>
      <c r="D366" s="215"/>
      <c r="E366" s="27"/>
      <c r="F366" s="215"/>
      <c r="G366" s="27"/>
      <c r="H366" s="215"/>
      <c r="I366" s="27"/>
      <c r="J366" s="215"/>
      <c r="K366" s="27"/>
    </row>
    <row r="367" spans="1:11" x14ac:dyDescent="0.2">
      <c r="A367" s="223"/>
      <c r="B367" s="258"/>
      <c r="C367" s="27"/>
      <c r="D367" s="215"/>
      <c r="E367" s="27"/>
      <c r="F367" s="215"/>
      <c r="G367" s="27"/>
      <c r="H367" s="215"/>
      <c r="I367" s="27"/>
      <c r="J367" s="215"/>
      <c r="K367" s="27"/>
    </row>
    <row r="368" spans="1:11" x14ac:dyDescent="0.2">
      <c r="A368" s="223"/>
      <c r="B368" s="258"/>
      <c r="C368" s="27"/>
      <c r="D368" s="215"/>
      <c r="E368" s="27"/>
      <c r="F368" s="215"/>
      <c r="G368" s="27"/>
      <c r="H368" s="215"/>
      <c r="I368" s="27"/>
      <c r="J368" s="215"/>
      <c r="K368" s="27"/>
    </row>
    <row r="369" spans="1:11" x14ac:dyDescent="0.2">
      <c r="A369" s="223"/>
      <c r="B369" s="258"/>
      <c r="C369" s="27"/>
      <c r="D369" s="215"/>
      <c r="E369" s="27"/>
      <c r="F369" s="215"/>
      <c r="G369" s="27"/>
      <c r="H369" s="215"/>
      <c r="I369" s="27"/>
      <c r="J369" s="215"/>
      <c r="K369" s="27"/>
    </row>
    <row r="370" spans="1:11" x14ac:dyDescent="0.2">
      <c r="A370" s="223"/>
      <c r="B370" s="258"/>
      <c r="C370" s="27"/>
      <c r="D370" s="215"/>
      <c r="E370" s="27"/>
      <c r="F370" s="215"/>
      <c r="G370" s="27"/>
      <c r="H370" s="215"/>
      <c r="I370" s="27"/>
      <c r="J370" s="215"/>
      <c r="K370" s="27"/>
    </row>
    <row r="371" spans="1:11" x14ac:dyDescent="0.2">
      <c r="A371" s="223"/>
      <c r="B371" s="258"/>
      <c r="C371" s="27"/>
      <c r="D371" s="215"/>
      <c r="E371" s="27"/>
      <c r="F371" s="215"/>
      <c r="G371" s="27"/>
      <c r="H371" s="215"/>
      <c r="I371" s="27"/>
      <c r="J371" s="215"/>
      <c r="K371" s="27"/>
    </row>
    <row r="372" spans="1:11" x14ac:dyDescent="0.2">
      <c r="A372" s="223"/>
      <c r="B372" s="258"/>
      <c r="C372" s="27"/>
      <c r="D372" s="215"/>
      <c r="E372" s="27"/>
      <c r="F372" s="215"/>
      <c r="G372" s="27"/>
      <c r="H372" s="215"/>
      <c r="I372" s="27"/>
      <c r="J372" s="215"/>
      <c r="K372" s="27"/>
    </row>
    <row r="373" spans="1:11" x14ac:dyDescent="0.2">
      <c r="A373" s="223"/>
      <c r="B373" s="258"/>
      <c r="C373" s="27"/>
      <c r="D373" s="215"/>
      <c r="E373" s="27"/>
      <c r="F373" s="215"/>
      <c r="G373" s="27"/>
      <c r="H373" s="215"/>
      <c r="I373" s="27"/>
      <c r="J373" s="215"/>
      <c r="K373" s="27"/>
    </row>
    <row r="374" spans="1:11" x14ac:dyDescent="0.2">
      <c r="A374" s="223"/>
      <c r="B374" s="258"/>
      <c r="C374" s="27"/>
      <c r="D374" s="215"/>
      <c r="E374" s="27"/>
      <c r="F374" s="215"/>
      <c r="G374" s="27"/>
      <c r="H374" s="215"/>
      <c r="I374" s="27"/>
      <c r="J374" s="215"/>
      <c r="K374" s="27"/>
    </row>
    <row r="375" spans="1:11" x14ac:dyDescent="0.2">
      <c r="A375" s="223"/>
      <c r="B375" s="258"/>
      <c r="C375" s="27"/>
      <c r="D375" s="215"/>
      <c r="E375" s="27"/>
      <c r="F375" s="215"/>
      <c r="G375" s="27"/>
      <c r="H375" s="215"/>
      <c r="I375" s="27"/>
      <c r="J375" s="215"/>
      <c r="K375" s="27"/>
    </row>
    <row r="376" spans="1:11" x14ac:dyDescent="0.2">
      <c r="A376" s="223"/>
      <c r="B376" s="258"/>
      <c r="C376" s="27"/>
      <c r="D376" s="215"/>
      <c r="E376" s="27"/>
      <c r="F376" s="215"/>
      <c r="G376" s="27"/>
      <c r="H376" s="215"/>
      <c r="I376" s="27"/>
      <c r="J376" s="215"/>
      <c r="K376" s="27"/>
    </row>
    <row r="377" spans="1:11" x14ac:dyDescent="0.2">
      <c r="A377" s="223"/>
      <c r="B377" s="258"/>
      <c r="C377" s="27"/>
      <c r="D377" s="215"/>
      <c r="E377" s="27"/>
      <c r="F377" s="215"/>
      <c r="G377" s="27"/>
      <c r="H377" s="215"/>
      <c r="I377" s="27"/>
      <c r="J377" s="215"/>
      <c r="K377" s="27"/>
    </row>
    <row r="378" spans="1:11" x14ac:dyDescent="0.2">
      <c r="A378" s="223"/>
      <c r="B378" s="258"/>
      <c r="C378" s="27"/>
      <c r="D378" s="215"/>
      <c r="E378" s="27"/>
      <c r="F378" s="215"/>
      <c r="G378" s="27"/>
      <c r="H378" s="215"/>
      <c r="I378" s="27"/>
      <c r="J378" s="215"/>
      <c r="K378" s="27"/>
    </row>
    <row r="379" spans="1:11" x14ac:dyDescent="0.2">
      <c r="A379" s="223"/>
      <c r="B379" s="258"/>
      <c r="C379" s="27"/>
      <c r="D379" s="215"/>
      <c r="E379" s="27"/>
      <c r="F379" s="215"/>
      <c r="G379" s="27"/>
      <c r="H379" s="215"/>
      <c r="I379" s="27"/>
      <c r="J379" s="215"/>
      <c r="K379" s="27"/>
    </row>
    <row r="380" spans="1:11" x14ac:dyDescent="0.2">
      <c r="A380" s="223"/>
      <c r="B380" s="258"/>
      <c r="C380" s="27"/>
      <c r="D380" s="215"/>
      <c r="E380" s="27"/>
      <c r="F380" s="215"/>
      <c r="G380" s="27"/>
      <c r="H380" s="215"/>
      <c r="I380" s="27"/>
      <c r="J380" s="215"/>
      <c r="K380" s="27"/>
    </row>
    <row r="381" spans="1:11" x14ac:dyDescent="0.2">
      <c r="A381" s="223"/>
      <c r="B381" s="258"/>
      <c r="C381" s="27"/>
      <c r="D381" s="215"/>
      <c r="E381" s="27"/>
      <c r="F381" s="215"/>
      <c r="G381" s="27"/>
      <c r="H381" s="215"/>
      <c r="I381" s="27"/>
      <c r="J381" s="215"/>
      <c r="K381" s="27"/>
    </row>
    <row r="382" spans="1:11" x14ac:dyDescent="0.2">
      <c r="A382" s="223"/>
      <c r="B382" s="258"/>
      <c r="C382" s="27"/>
      <c r="D382" s="215"/>
      <c r="E382" s="27"/>
      <c r="F382" s="215"/>
      <c r="G382" s="27"/>
      <c r="H382" s="215"/>
      <c r="I382" s="27"/>
      <c r="J382" s="215"/>
      <c r="K382" s="27"/>
    </row>
    <row r="383" spans="1:11" x14ac:dyDescent="0.2">
      <c r="A383" s="223"/>
      <c r="B383" s="258"/>
      <c r="C383" s="27"/>
      <c r="D383" s="215"/>
      <c r="E383" s="27"/>
      <c r="F383" s="215"/>
      <c r="G383" s="27"/>
      <c r="H383" s="215"/>
      <c r="I383" s="27"/>
      <c r="J383" s="215"/>
      <c r="K383" s="27"/>
    </row>
    <row r="384" spans="1:11" x14ac:dyDescent="0.2">
      <c r="A384" s="223"/>
      <c r="B384" s="258"/>
      <c r="C384" s="27"/>
      <c r="D384" s="215"/>
      <c r="E384" s="27"/>
      <c r="F384" s="215"/>
      <c r="G384" s="27"/>
      <c r="H384" s="215"/>
      <c r="I384" s="27"/>
      <c r="J384" s="215"/>
      <c r="K384" s="27"/>
    </row>
    <row r="385" spans="1:11" x14ac:dyDescent="0.2">
      <c r="A385" s="223"/>
      <c r="B385" s="258"/>
      <c r="C385" s="27"/>
      <c r="D385" s="215"/>
      <c r="E385" s="27"/>
      <c r="F385" s="215"/>
      <c r="G385" s="27"/>
      <c r="H385" s="215"/>
      <c r="I385" s="27"/>
      <c r="J385" s="215"/>
      <c r="K385" s="27"/>
    </row>
    <row r="386" spans="1:11" x14ac:dyDescent="0.2">
      <c r="A386" s="223"/>
      <c r="B386" s="258"/>
      <c r="C386" s="27"/>
      <c r="D386" s="215"/>
      <c r="E386" s="27"/>
      <c r="F386" s="215"/>
      <c r="G386" s="27"/>
      <c r="H386" s="215"/>
      <c r="I386" s="27"/>
      <c r="J386" s="215"/>
      <c r="K386" s="27"/>
    </row>
    <row r="387" spans="1:11" x14ac:dyDescent="0.2">
      <c r="A387" s="223"/>
      <c r="B387" s="258"/>
      <c r="C387" s="27"/>
      <c r="D387" s="215"/>
      <c r="E387" s="27"/>
      <c r="F387" s="215"/>
      <c r="G387" s="27"/>
      <c r="H387" s="215"/>
      <c r="I387" s="27"/>
      <c r="J387" s="215"/>
      <c r="K387" s="27"/>
    </row>
    <row r="388" spans="1:11" x14ac:dyDescent="0.2">
      <c r="A388" s="223"/>
      <c r="B388" s="258"/>
      <c r="C388" s="27"/>
      <c r="D388" s="215"/>
      <c r="E388" s="27"/>
      <c r="F388" s="215"/>
      <c r="G388" s="27"/>
      <c r="H388" s="215"/>
      <c r="I388" s="27"/>
      <c r="J388" s="215"/>
      <c r="K388" s="27"/>
    </row>
    <row r="389" spans="1:11" x14ac:dyDescent="0.2">
      <c r="A389" s="223"/>
      <c r="B389" s="258"/>
      <c r="C389" s="27"/>
      <c r="D389" s="215"/>
      <c r="E389" s="27"/>
      <c r="F389" s="215"/>
      <c r="G389" s="27"/>
      <c r="H389" s="215"/>
      <c r="I389" s="27"/>
      <c r="J389" s="215"/>
      <c r="K389" s="27"/>
    </row>
    <row r="390" spans="1:11" x14ac:dyDescent="0.2">
      <c r="A390" s="223"/>
      <c r="B390" s="258"/>
      <c r="C390" s="27"/>
      <c r="D390" s="215"/>
      <c r="E390" s="27"/>
      <c r="F390" s="215"/>
      <c r="G390" s="27"/>
      <c r="H390" s="215"/>
      <c r="I390" s="27"/>
      <c r="J390" s="215"/>
      <c r="K390" s="27"/>
    </row>
    <row r="391" spans="1:11" x14ac:dyDescent="0.2">
      <c r="A391" s="223"/>
      <c r="B391" s="258"/>
      <c r="C391" s="27"/>
      <c r="D391" s="215"/>
      <c r="E391" s="27"/>
      <c r="F391" s="215"/>
      <c r="G391" s="27"/>
      <c r="H391" s="215"/>
      <c r="I391" s="27"/>
      <c r="J391" s="215"/>
      <c r="K391" s="27"/>
    </row>
    <row r="392" spans="1:11" x14ac:dyDescent="0.2">
      <c r="A392" s="223"/>
      <c r="B392" s="258"/>
      <c r="C392" s="27"/>
      <c r="D392" s="215"/>
      <c r="E392" s="27"/>
      <c r="F392" s="215"/>
      <c r="G392" s="27"/>
      <c r="H392" s="215"/>
      <c r="I392" s="27"/>
      <c r="J392" s="215"/>
      <c r="K392" s="27"/>
    </row>
    <row r="393" spans="1:11" x14ac:dyDescent="0.2">
      <c r="A393" s="223"/>
      <c r="B393" s="258"/>
      <c r="C393" s="27"/>
      <c r="D393" s="215"/>
      <c r="E393" s="27"/>
      <c r="F393" s="215"/>
      <c r="G393" s="27"/>
      <c r="H393" s="215"/>
      <c r="I393" s="27"/>
      <c r="J393" s="215"/>
      <c r="K393" s="27"/>
    </row>
    <row r="394" spans="1:11" x14ac:dyDescent="0.2">
      <c r="A394" s="223"/>
      <c r="B394" s="258"/>
      <c r="C394" s="27"/>
      <c r="D394" s="215"/>
      <c r="E394" s="27"/>
      <c r="F394" s="215"/>
      <c r="G394" s="27"/>
      <c r="H394" s="215"/>
      <c r="I394" s="27"/>
      <c r="J394" s="215"/>
      <c r="K394" s="27"/>
    </row>
    <row r="395" spans="1:11" x14ac:dyDescent="0.2">
      <c r="A395" s="223"/>
      <c r="B395" s="258"/>
      <c r="C395" s="27"/>
      <c r="D395" s="215"/>
      <c r="E395" s="27"/>
      <c r="F395" s="215"/>
      <c r="G395" s="27"/>
      <c r="H395" s="215"/>
      <c r="I395" s="27"/>
      <c r="J395" s="215"/>
      <c r="K395" s="27"/>
    </row>
    <row r="396" spans="1:11" x14ac:dyDescent="0.2">
      <c r="A396" s="223"/>
      <c r="B396" s="258"/>
      <c r="C396" s="27"/>
      <c r="D396" s="215"/>
      <c r="E396" s="27"/>
      <c r="F396" s="215"/>
      <c r="G396" s="27"/>
      <c r="H396" s="215"/>
      <c r="I396" s="27"/>
      <c r="J396" s="215"/>
      <c r="K396" s="27"/>
    </row>
    <row r="397" spans="1:11" x14ac:dyDescent="0.2">
      <c r="A397" s="223"/>
      <c r="B397" s="258"/>
      <c r="C397" s="27"/>
      <c r="D397" s="215"/>
      <c r="E397" s="27"/>
      <c r="F397" s="215"/>
      <c r="G397" s="27"/>
      <c r="H397" s="215"/>
      <c r="I397" s="27"/>
      <c r="J397" s="215"/>
      <c r="K397" s="27"/>
    </row>
    <row r="398" spans="1:11" x14ac:dyDescent="0.2">
      <c r="A398" s="223"/>
      <c r="B398" s="258"/>
      <c r="C398" s="27"/>
      <c r="D398" s="215"/>
      <c r="E398" s="27"/>
      <c r="F398" s="215"/>
      <c r="G398" s="27"/>
      <c r="H398" s="215"/>
      <c r="I398" s="27"/>
      <c r="J398" s="215"/>
      <c r="K398" s="27"/>
    </row>
    <row r="399" spans="1:11" x14ac:dyDescent="0.2">
      <c r="A399" s="223"/>
      <c r="B399" s="258"/>
      <c r="C399" s="27"/>
      <c r="D399" s="215"/>
      <c r="E399" s="27"/>
      <c r="F399" s="215"/>
      <c r="G399" s="27"/>
      <c r="H399" s="215"/>
      <c r="I399" s="27"/>
      <c r="J399" s="215"/>
      <c r="K399" s="27"/>
    </row>
    <row r="400" spans="1:11" x14ac:dyDescent="0.2">
      <c r="A400" s="223"/>
      <c r="B400" s="258"/>
      <c r="C400" s="27"/>
      <c r="D400" s="215"/>
      <c r="E400" s="27"/>
      <c r="F400" s="215"/>
      <c r="G400" s="27"/>
      <c r="H400" s="215"/>
      <c r="I400" s="27"/>
      <c r="J400" s="215"/>
      <c r="K400" s="27"/>
    </row>
    <row r="401" spans="1:11" x14ac:dyDescent="0.2">
      <c r="A401" s="223"/>
      <c r="B401" s="258"/>
      <c r="C401" s="27"/>
      <c r="D401" s="215"/>
      <c r="E401" s="27"/>
      <c r="F401" s="215"/>
      <c r="G401" s="27"/>
      <c r="H401" s="215"/>
      <c r="I401" s="27"/>
      <c r="J401" s="215"/>
      <c r="K401" s="27"/>
    </row>
    <row r="402" spans="1:11" x14ac:dyDescent="0.2">
      <c r="A402" s="223"/>
      <c r="B402" s="258"/>
      <c r="C402" s="27"/>
      <c r="D402" s="215"/>
      <c r="E402" s="27"/>
      <c r="F402" s="215"/>
      <c r="G402" s="27"/>
      <c r="H402" s="215"/>
      <c r="I402" s="27"/>
      <c r="J402" s="215"/>
      <c r="K402" s="27"/>
    </row>
    <row r="403" spans="1:11" x14ac:dyDescent="0.2">
      <c r="A403" s="223"/>
      <c r="B403" s="258"/>
      <c r="C403" s="27"/>
      <c r="D403" s="215"/>
      <c r="E403" s="27"/>
      <c r="F403" s="215"/>
      <c r="G403" s="27"/>
      <c r="H403" s="215"/>
      <c r="I403" s="27"/>
      <c r="J403" s="215"/>
      <c r="K403" s="27"/>
    </row>
    <row r="404" spans="1:11" x14ac:dyDescent="0.2">
      <c r="A404" s="223"/>
      <c r="B404" s="258"/>
      <c r="C404" s="27"/>
      <c r="D404" s="215"/>
      <c r="E404" s="27"/>
      <c r="F404" s="215"/>
      <c r="G404" s="27"/>
      <c r="H404" s="215"/>
      <c r="I404" s="27"/>
      <c r="J404" s="215"/>
      <c r="K404" s="27"/>
    </row>
    <row r="405" spans="1:11" x14ac:dyDescent="0.2">
      <c r="A405" s="223"/>
      <c r="B405" s="258"/>
      <c r="C405" s="27"/>
      <c r="D405" s="215"/>
      <c r="E405" s="27"/>
      <c r="F405" s="215"/>
      <c r="G405" s="27"/>
      <c r="H405" s="215"/>
      <c r="I405" s="27"/>
      <c r="J405" s="215"/>
      <c r="K405" s="27"/>
    </row>
    <row r="406" spans="1:11" x14ac:dyDescent="0.2">
      <c r="A406" s="223"/>
      <c r="B406" s="258"/>
      <c r="C406" s="27"/>
      <c r="D406" s="215"/>
      <c r="E406" s="27"/>
      <c r="F406" s="215"/>
      <c r="G406" s="27"/>
      <c r="H406" s="215"/>
      <c r="I406" s="27"/>
      <c r="J406" s="215"/>
      <c r="K406" s="27"/>
    </row>
    <row r="407" spans="1:11" x14ac:dyDescent="0.2">
      <c r="A407" s="223"/>
      <c r="B407" s="258"/>
      <c r="C407" s="27"/>
      <c r="D407" s="215"/>
      <c r="E407" s="27"/>
      <c r="F407" s="215"/>
      <c r="G407" s="27"/>
      <c r="H407" s="215"/>
      <c r="I407" s="27"/>
      <c r="J407" s="215"/>
      <c r="K407" s="27"/>
    </row>
    <row r="408" spans="1:11" x14ac:dyDescent="0.2">
      <c r="A408" s="223"/>
      <c r="B408" s="258"/>
      <c r="C408" s="27"/>
      <c r="D408" s="215"/>
      <c r="E408" s="27"/>
      <c r="F408" s="215"/>
      <c r="G408" s="27"/>
      <c r="H408" s="215"/>
      <c r="I408" s="27"/>
      <c r="J408" s="215"/>
      <c r="K408" s="27"/>
    </row>
    <row r="409" spans="1:11" x14ac:dyDescent="0.2">
      <c r="A409" s="223"/>
      <c r="B409" s="258"/>
      <c r="C409" s="27"/>
      <c r="D409" s="215"/>
      <c r="E409" s="27"/>
      <c r="F409" s="215"/>
      <c r="G409" s="27"/>
      <c r="H409" s="215"/>
      <c r="I409" s="27"/>
      <c r="J409" s="215"/>
      <c r="K409" s="27"/>
    </row>
    <row r="410" spans="1:11" x14ac:dyDescent="0.2">
      <c r="A410" s="223"/>
      <c r="B410" s="258"/>
      <c r="C410" s="27"/>
      <c r="D410" s="215"/>
      <c r="E410" s="27"/>
      <c r="F410" s="215"/>
      <c r="G410" s="27"/>
      <c r="H410" s="215"/>
      <c r="I410" s="27"/>
      <c r="J410" s="215"/>
      <c r="K410" s="27"/>
    </row>
    <row r="411" spans="1:11" x14ac:dyDescent="0.2">
      <c r="A411" s="223"/>
      <c r="B411" s="258"/>
      <c r="C411" s="27"/>
      <c r="D411" s="215"/>
      <c r="E411" s="27"/>
      <c r="F411" s="215"/>
      <c r="G411" s="27"/>
      <c r="H411" s="215"/>
      <c r="I411" s="27"/>
      <c r="J411" s="215"/>
      <c r="K411" s="27"/>
    </row>
    <row r="412" spans="1:11" x14ac:dyDescent="0.2">
      <c r="A412" s="223"/>
      <c r="B412" s="258"/>
      <c r="C412" s="27"/>
      <c r="D412" s="215"/>
      <c r="E412" s="27"/>
      <c r="F412" s="215"/>
      <c r="G412" s="27"/>
      <c r="H412" s="215"/>
      <c r="I412" s="27"/>
      <c r="J412" s="215"/>
      <c r="K412" s="27"/>
    </row>
    <row r="413" spans="1:11" x14ac:dyDescent="0.2">
      <c r="A413" s="223"/>
      <c r="B413" s="258"/>
      <c r="C413" s="27"/>
      <c r="D413" s="215"/>
      <c r="E413" s="27"/>
      <c r="F413" s="215"/>
      <c r="G413" s="27"/>
      <c r="H413" s="215"/>
      <c r="I413" s="27"/>
      <c r="J413" s="215"/>
      <c r="K413" s="27"/>
    </row>
    <row r="414" spans="1:11" x14ac:dyDescent="0.2">
      <c r="A414" s="223"/>
      <c r="B414" s="258"/>
      <c r="C414" s="27"/>
      <c r="D414" s="215"/>
      <c r="E414" s="27"/>
      <c r="F414" s="215"/>
      <c r="G414" s="27"/>
      <c r="H414" s="215"/>
      <c r="I414" s="27"/>
      <c r="J414" s="215"/>
      <c r="K414" s="27"/>
    </row>
    <row r="415" spans="1:11" x14ac:dyDescent="0.2">
      <c r="A415" s="223"/>
      <c r="B415" s="258"/>
      <c r="C415" s="27"/>
      <c r="D415" s="215"/>
      <c r="E415" s="27"/>
      <c r="F415" s="215"/>
      <c r="G415" s="27"/>
      <c r="H415" s="215"/>
      <c r="I415" s="27"/>
      <c r="J415" s="215"/>
      <c r="K415" s="27"/>
    </row>
    <row r="416" spans="1:11" x14ac:dyDescent="0.2">
      <c r="A416" s="223"/>
      <c r="B416" s="258"/>
      <c r="C416" s="27"/>
      <c r="D416" s="215"/>
      <c r="E416" s="27"/>
      <c r="F416" s="215"/>
      <c r="G416" s="27"/>
      <c r="H416" s="215"/>
      <c r="I416" s="27"/>
      <c r="J416" s="215"/>
      <c r="K416" s="27"/>
    </row>
    <row r="417" spans="1:11" x14ac:dyDescent="0.2">
      <c r="A417" s="223"/>
      <c r="B417" s="258"/>
      <c r="C417" s="27"/>
      <c r="D417" s="215"/>
      <c r="E417" s="27"/>
      <c r="F417" s="215"/>
      <c r="G417" s="27"/>
      <c r="H417" s="215"/>
      <c r="I417" s="27"/>
      <c r="J417" s="215"/>
      <c r="K417" s="27"/>
    </row>
    <row r="418" spans="1:11" x14ac:dyDescent="0.2">
      <c r="A418" s="223"/>
      <c r="B418" s="258"/>
      <c r="C418" s="27"/>
      <c r="D418" s="215"/>
      <c r="E418" s="27"/>
      <c r="F418" s="215"/>
      <c r="G418" s="27"/>
      <c r="H418" s="215"/>
      <c r="I418" s="27"/>
      <c r="J418" s="215"/>
      <c r="K418" s="27"/>
    </row>
    <row r="419" spans="1:11" x14ac:dyDescent="0.2">
      <c r="A419" s="223"/>
      <c r="B419" s="258"/>
      <c r="C419" s="27"/>
      <c r="D419" s="215"/>
      <c r="E419" s="27"/>
      <c r="F419" s="215"/>
      <c r="G419" s="27"/>
      <c r="H419" s="215"/>
      <c r="I419" s="27"/>
      <c r="J419" s="215"/>
      <c r="K419" s="27"/>
    </row>
    <row r="420" spans="1:11" x14ac:dyDescent="0.2">
      <c r="A420" s="223"/>
      <c r="B420" s="258"/>
      <c r="C420" s="27"/>
      <c r="D420" s="215"/>
      <c r="E420" s="27"/>
      <c r="F420" s="215"/>
      <c r="G420" s="27"/>
      <c r="H420" s="215"/>
      <c r="I420" s="27"/>
      <c r="J420" s="215"/>
      <c r="K420" s="27"/>
    </row>
    <row r="421" spans="1:11" x14ac:dyDescent="0.2">
      <c r="A421" s="223"/>
      <c r="B421" s="258"/>
      <c r="C421" s="27"/>
      <c r="D421" s="215"/>
      <c r="E421" s="27"/>
      <c r="F421" s="215"/>
      <c r="G421" s="27"/>
      <c r="H421" s="215"/>
      <c r="I421" s="27"/>
      <c r="J421" s="215"/>
      <c r="K421" s="27"/>
    </row>
    <row r="422" spans="1:11" x14ac:dyDescent="0.2">
      <c r="A422" s="223"/>
      <c r="B422" s="258"/>
      <c r="C422" s="27"/>
      <c r="D422" s="215"/>
      <c r="E422" s="27"/>
      <c r="F422" s="215"/>
      <c r="G422" s="27"/>
      <c r="H422" s="215"/>
      <c r="I422" s="27"/>
      <c r="J422" s="215"/>
      <c r="K422" s="27"/>
    </row>
    <row r="423" spans="1:11" x14ac:dyDescent="0.2">
      <c r="A423" s="223"/>
      <c r="B423" s="258"/>
      <c r="C423" s="27"/>
      <c r="D423" s="215"/>
      <c r="E423" s="27"/>
      <c r="F423" s="215"/>
      <c r="G423" s="27"/>
      <c r="H423" s="215"/>
      <c r="I423" s="27"/>
      <c r="J423" s="215"/>
      <c r="K423" s="27"/>
    </row>
    <row r="424" spans="1:11" x14ac:dyDescent="0.2">
      <c r="A424" s="223"/>
      <c r="B424" s="258"/>
      <c r="C424" s="27"/>
      <c r="D424" s="215"/>
      <c r="E424" s="27"/>
      <c r="F424" s="215"/>
      <c r="G424" s="27"/>
      <c r="H424" s="215"/>
      <c r="I424" s="27"/>
      <c r="J424" s="215"/>
      <c r="K424" s="27"/>
    </row>
    <row r="425" spans="1:11" x14ac:dyDescent="0.2">
      <c r="A425" s="223"/>
      <c r="B425" s="258"/>
      <c r="C425" s="27"/>
      <c r="D425" s="215"/>
      <c r="E425" s="27"/>
      <c r="F425" s="215"/>
      <c r="G425" s="27"/>
      <c r="H425" s="215"/>
      <c r="I425" s="27"/>
      <c r="J425" s="215"/>
      <c r="K425" s="27"/>
    </row>
    <row r="426" spans="1:11" x14ac:dyDescent="0.2">
      <c r="A426" s="223"/>
      <c r="B426" s="258"/>
      <c r="C426" s="27"/>
      <c r="D426" s="215"/>
      <c r="E426" s="27"/>
      <c r="F426" s="215"/>
      <c r="G426" s="27"/>
      <c r="H426" s="215"/>
      <c r="I426" s="27"/>
      <c r="J426" s="215"/>
      <c r="K426" s="27"/>
    </row>
    <row r="427" spans="1:11" x14ac:dyDescent="0.2">
      <c r="A427" s="223"/>
      <c r="B427" s="258"/>
      <c r="C427" s="27"/>
      <c r="D427" s="215"/>
      <c r="E427" s="27"/>
      <c r="F427" s="215"/>
      <c r="G427" s="27"/>
      <c r="H427" s="215"/>
      <c r="I427" s="27"/>
      <c r="J427" s="215"/>
      <c r="K427" s="27"/>
    </row>
    <row r="428" spans="1:11" x14ac:dyDescent="0.2">
      <c r="A428" s="223"/>
      <c r="B428" s="258"/>
      <c r="C428" s="27"/>
      <c r="D428" s="215"/>
      <c r="E428" s="27"/>
      <c r="F428" s="215"/>
      <c r="G428" s="27"/>
      <c r="H428" s="215"/>
      <c r="I428" s="27"/>
      <c r="J428" s="215"/>
      <c r="K428" s="27"/>
    </row>
    <row r="429" spans="1:11" x14ac:dyDescent="0.2">
      <c r="A429" s="223"/>
      <c r="B429" s="258"/>
      <c r="C429" s="27"/>
      <c r="D429" s="215"/>
      <c r="E429" s="27"/>
      <c r="F429" s="215"/>
      <c r="G429" s="27"/>
      <c r="H429" s="215"/>
      <c r="I429" s="27"/>
      <c r="J429" s="215"/>
      <c r="K429" s="27"/>
    </row>
    <row r="430" spans="1:11" x14ac:dyDescent="0.2">
      <c r="A430" s="223"/>
      <c r="B430" s="258"/>
      <c r="C430" s="27"/>
      <c r="D430" s="215"/>
      <c r="E430" s="27"/>
      <c r="F430" s="215"/>
      <c r="G430" s="27"/>
      <c r="H430" s="215"/>
      <c r="I430" s="27"/>
      <c r="J430" s="215"/>
      <c r="K430" s="27"/>
    </row>
    <row r="431" spans="1:11" x14ac:dyDescent="0.2">
      <c r="A431" s="223"/>
      <c r="B431" s="258"/>
      <c r="C431" s="27"/>
      <c r="D431" s="215"/>
      <c r="E431" s="27"/>
      <c r="F431" s="215"/>
      <c r="G431" s="27"/>
      <c r="H431" s="215"/>
      <c r="I431" s="27"/>
      <c r="J431" s="215"/>
      <c r="K431" s="27"/>
    </row>
    <row r="432" spans="1:11" x14ac:dyDescent="0.2">
      <c r="A432" s="223"/>
      <c r="B432" s="258"/>
      <c r="C432" s="27"/>
      <c r="D432" s="215"/>
      <c r="E432" s="27"/>
      <c r="F432" s="215"/>
      <c r="G432" s="27"/>
      <c r="H432" s="215"/>
      <c r="I432" s="27"/>
      <c r="J432" s="215"/>
      <c r="K432" s="27"/>
    </row>
    <row r="433" spans="1:11" x14ac:dyDescent="0.2">
      <c r="A433" s="223"/>
      <c r="B433" s="258"/>
      <c r="C433" s="27"/>
      <c r="D433" s="215"/>
      <c r="E433" s="27"/>
      <c r="F433" s="215"/>
      <c r="G433" s="27"/>
      <c r="H433" s="215"/>
      <c r="I433" s="27"/>
      <c r="J433" s="215"/>
      <c r="K433" s="27"/>
    </row>
    <row r="434" spans="1:11" x14ac:dyDescent="0.2">
      <c r="A434" s="223"/>
      <c r="B434" s="258"/>
      <c r="C434" s="27"/>
      <c r="D434" s="215"/>
      <c r="E434" s="27"/>
      <c r="F434" s="215"/>
      <c r="G434" s="27"/>
      <c r="H434" s="215"/>
      <c r="I434" s="27"/>
      <c r="J434" s="215"/>
      <c r="K434" s="27"/>
    </row>
    <row r="435" spans="1:11" x14ac:dyDescent="0.2">
      <c r="A435" s="223"/>
      <c r="B435" s="258"/>
      <c r="C435" s="27"/>
      <c r="D435" s="215"/>
      <c r="E435" s="27"/>
      <c r="F435" s="215"/>
      <c r="G435" s="27"/>
      <c r="H435" s="215"/>
      <c r="I435" s="27"/>
      <c r="J435" s="215"/>
      <c r="K435" s="27"/>
    </row>
    <row r="436" spans="1:11" x14ac:dyDescent="0.2">
      <c r="A436" s="223"/>
      <c r="B436" s="258"/>
      <c r="C436" s="27"/>
      <c r="D436" s="215"/>
      <c r="E436" s="27"/>
      <c r="F436" s="215"/>
      <c r="G436" s="27"/>
      <c r="H436" s="215"/>
      <c r="I436" s="27"/>
      <c r="J436" s="215"/>
      <c r="K436" s="27"/>
    </row>
    <row r="437" spans="1:11" x14ac:dyDescent="0.2">
      <c r="A437" s="223"/>
      <c r="B437" s="258"/>
      <c r="C437" s="27"/>
      <c r="D437" s="215"/>
      <c r="E437" s="27"/>
      <c r="F437" s="215"/>
      <c r="G437" s="27"/>
      <c r="H437" s="215"/>
      <c r="I437" s="27"/>
      <c r="J437" s="215"/>
      <c r="K437" s="27"/>
    </row>
    <row r="438" spans="1:11" x14ac:dyDescent="0.2">
      <c r="A438" s="223"/>
      <c r="B438" s="258"/>
      <c r="C438" s="27"/>
      <c r="D438" s="215"/>
      <c r="E438" s="27"/>
      <c r="F438" s="215"/>
      <c r="G438" s="27"/>
      <c r="H438" s="215"/>
      <c r="I438" s="27"/>
      <c r="J438" s="215"/>
      <c r="K438" s="27"/>
    </row>
    <row r="439" spans="1:11" x14ac:dyDescent="0.2">
      <c r="A439" s="223"/>
      <c r="B439" s="258"/>
      <c r="C439" s="27"/>
      <c r="D439" s="215"/>
      <c r="E439" s="27"/>
      <c r="F439" s="215"/>
      <c r="G439" s="27"/>
      <c r="H439" s="215"/>
      <c r="I439" s="27"/>
      <c r="J439" s="215"/>
      <c r="K439" s="27"/>
    </row>
    <row r="440" spans="1:11" x14ac:dyDescent="0.2">
      <c r="A440" s="223"/>
      <c r="B440" s="258"/>
      <c r="C440" s="27"/>
      <c r="D440" s="215"/>
      <c r="E440" s="27"/>
      <c r="F440" s="215"/>
      <c r="G440" s="27"/>
      <c r="H440" s="215"/>
      <c r="I440" s="27"/>
      <c r="J440" s="215"/>
      <c r="K440" s="27"/>
    </row>
    <row r="441" spans="1:11" x14ac:dyDescent="0.2">
      <c r="A441" s="223"/>
      <c r="B441" s="258"/>
      <c r="C441" s="27"/>
      <c r="D441" s="215"/>
      <c r="E441" s="27"/>
      <c r="F441" s="215"/>
      <c r="G441" s="27"/>
      <c r="H441" s="215"/>
      <c r="I441" s="27"/>
      <c r="J441" s="215"/>
      <c r="K441" s="27"/>
    </row>
    <row r="442" spans="1:11" x14ac:dyDescent="0.2">
      <c r="A442" s="223"/>
      <c r="B442" s="258"/>
      <c r="C442" s="27"/>
      <c r="D442" s="215"/>
      <c r="E442" s="27"/>
      <c r="F442" s="215"/>
      <c r="G442" s="27"/>
      <c r="H442" s="215"/>
      <c r="I442" s="27"/>
      <c r="J442" s="215"/>
      <c r="K442" s="27"/>
    </row>
    <row r="443" spans="1:11" x14ac:dyDescent="0.2">
      <c r="A443" s="223"/>
      <c r="B443" s="258"/>
      <c r="C443" s="27"/>
      <c r="D443" s="215"/>
      <c r="E443" s="27"/>
      <c r="F443" s="215"/>
      <c r="G443" s="27"/>
      <c r="H443" s="215"/>
      <c r="I443" s="27"/>
      <c r="J443" s="215"/>
      <c r="K443" s="27"/>
    </row>
    <row r="444" spans="1:11" x14ac:dyDescent="0.2">
      <c r="A444" s="223"/>
      <c r="B444" s="258"/>
      <c r="C444" s="27"/>
      <c r="D444" s="215"/>
      <c r="E444" s="27"/>
      <c r="F444" s="215"/>
      <c r="G444" s="27"/>
      <c r="H444" s="215"/>
      <c r="I444" s="27"/>
      <c r="J444" s="215"/>
      <c r="K444" s="27"/>
    </row>
    <row r="445" spans="1:11" x14ac:dyDescent="0.2">
      <c r="A445" s="223"/>
      <c r="B445" s="258"/>
      <c r="C445" s="27"/>
      <c r="D445" s="215"/>
      <c r="E445" s="27"/>
      <c r="F445" s="215"/>
      <c r="G445" s="27"/>
      <c r="H445" s="215"/>
      <c r="I445" s="27"/>
      <c r="J445" s="215"/>
      <c r="K445" s="27"/>
    </row>
    <row r="446" spans="1:11" x14ac:dyDescent="0.2">
      <c r="A446" s="223"/>
      <c r="B446" s="258"/>
      <c r="C446" s="27"/>
      <c r="D446" s="215"/>
      <c r="E446" s="27"/>
      <c r="F446" s="215"/>
      <c r="G446" s="27"/>
      <c r="H446" s="215"/>
      <c r="I446" s="27"/>
      <c r="J446" s="215"/>
      <c r="K446" s="27"/>
    </row>
    <row r="447" spans="1:11" x14ac:dyDescent="0.2">
      <c r="A447" s="223"/>
      <c r="B447" s="258"/>
      <c r="C447" s="27"/>
      <c r="D447" s="215"/>
      <c r="E447" s="27"/>
      <c r="F447" s="215"/>
      <c r="G447" s="27"/>
      <c r="H447" s="215"/>
      <c r="I447" s="27"/>
      <c r="J447" s="215"/>
      <c r="K447" s="27"/>
    </row>
    <row r="448" spans="1:11" x14ac:dyDescent="0.2">
      <c r="A448" s="223"/>
      <c r="B448" s="258"/>
      <c r="C448" s="27"/>
      <c r="D448" s="215"/>
      <c r="E448" s="27"/>
      <c r="F448" s="215"/>
      <c r="G448" s="27"/>
      <c r="H448" s="215"/>
      <c r="I448" s="27"/>
      <c r="J448" s="215"/>
      <c r="K448" s="27"/>
    </row>
    <row r="449" spans="1:11" x14ac:dyDescent="0.2">
      <c r="A449" s="223"/>
      <c r="B449" s="258"/>
      <c r="C449" s="27"/>
      <c r="D449" s="215"/>
      <c r="E449" s="27"/>
      <c r="F449" s="215"/>
      <c r="G449" s="27"/>
      <c r="H449" s="215"/>
      <c r="I449" s="27"/>
      <c r="J449" s="215"/>
      <c r="K449" s="27"/>
    </row>
    <row r="450" spans="1:11" x14ac:dyDescent="0.2">
      <c r="A450" s="223"/>
      <c r="B450" s="258"/>
      <c r="C450" s="27"/>
      <c r="D450" s="215"/>
      <c r="E450" s="27"/>
      <c r="F450" s="215"/>
      <c r="G450" s="27"/>
      <c r="H450" s="215"/>
      <c r="I450" s="27"/>
      <c r="J450" s="215"/>
      <c r="K450" s="27"/>
    </row>
    <row r="451" spans="1:11" x14ac:dyDescent="0.2">
      <c r="A451" s="223"/>
      <c r="B451" s="258"/>
      <c r="C451" s="27"/>
      <c r="D451" s="215"/>
      <c r="E451" s="27"/>
      <c r="F451" s="215"/>
      <c r="G451" s="27"/>
      <c r="H451" s="215"/>
      <c r="I451" s="27"/>
      <c r="J451" s="215"/>
      <c r="K451" s="27"/>
    </row>
    <row r="452" spans="1:11" x14ac:dyDescent="0.2">
      <c r="A452" s="223"/>
      <c r="B452" s="258"/>
      <c r="C452" s="27"/>
      <c r="D452" s="215"/>
      <c r="E452" s="27"/>
      <c r="F452" s="215"/>
      <c r="G452" s="27"/>
      <c r="H452" s="215"/>
      <c r="I452" s="27"/>
      <c r="J452" s="215"/>
      <c r="K452" s="27"/>
    </row>
    <row r="453" spans="1:11" x14ac:dyDescent="0.2">
      <c r="A453" s="223"/>
      <c r="B453" s="258"/>
      <c r="C453" s="27"/>
      <c r="D453" s="215"/>
      <c r="E453" s="27"/>
      <c r="F453" s="215"/>
      <c r="G453" s="27"/>
      <c r="H453" s="215"/>
      <c r="I453" s="27"/>
      <c r="J453" s="215"/>
      <c r="K453" s="27"/>
    </row>
    <row r="454" spans="1:11" x14ac:dyDescent="0.2">
      <c r="A454" s="223"/>
      <c r="B454" s="258"/>
      <c r="C454" s="27"/>
      <c r="D454" s="215"/>
      <c r="E454" s="27"/>
      <c r="F454" s="215"/>
      <c r="G454" s="27"/>
      <c r="H454" s="215"/>
      <c r="I454" s="27"/>
      <c r="J454" s="215"/>
      <c r="K454" s="27"/>
    </row>
    <row r="455" spans="1:11" x14ac:dyDescent="0.2">
      <c r="A455" s="223"/>
      <c r="B455" s="258"/>
      <c r="C455" s="27"/>
      <c r="D455" s="215"/>
      <c r="E455" s="27"/>
      <c r="F455" s="215"/>
      <c r="G455" s="27"/>
      <c r="H455" s="215"/>
      <c r="I455" s="27"/>
      <c r="J455" s="215"/>
      <c r="K455" s="27"/>
    </row>
    <row r="456" spans="1:11" x14ac:dyDescent="0.2">
      <c r="A456" s="223"/>
      <c r="B456" s="258"/>
      <c r="C456" s="27"/>
      <c r="D456" s="215"/>
      <c r="E456" s="27"/>
      <c r="F456" s="215"/>
      <c r="G456" s="27"/>
      <c r="H456" s="215"/>
      <c r="I456" s="27"/>
      <c r="J456" s="215"/>
      <c r="K456" s="27"/>
    </row>
    <row r="457" spans="1:11" x14ac:dyDescent="0.2">
      <c r="A457" s="223"/>
      <c r="B457" s="258"/>
      <c r="C457" s="27"/>
      <c r="D457" s="215"/>
      <c r="E457" s="27"/>
      <c r="F457" s="215"/>
      <c r="G457" s="27"/>
      <c r="H457" s="215"/>
      <c r="I457" s="27"/>
      <c r="J457" s="215"/>
      <c r="K457" s="27"/>
    </row>
    <row r="458" spans="1:11" x14ac:dyDescent="0.2">
      <c r="A458" s="223"/>
      <c r="B458" s="258"/>
      <c r="C458" s="27"/>
      <c r="D458" s="215"/>
      <c r="E458" s="27"/>
      <c r="F458" s="215"/>
      <c r="G458" s="27"/>
      <c r="H458" s="215"/>
      <c r="I458" s="27"/>
      <c r="J458" s="215"/>
      <c r="K458" s="27"/>
    </row>
    <row r="459" spans="1:11" x14ac:dyDescent="0.2">
      <c r="A459" s="223"/>
      <c r="B459" s="258"/>
      <c r="C459" s="27"/>
      <c r="D459" s="215"/>
      <c r="E459" s="27"/>
      <c r="F459" s="215"/>
      <c r="G459" s="27"/>
      <c r="H459" s="215"/>
      <c r="I459" s="27"/>
      <c r="J459" s="215"/>
      <c r="K459" s="27"/>
    </row>
    <row r="460" spans="1:11" x14ac:dyDescent="0.2">
      <c r="A460" s="223"/>
      <c r="B460" s="258"/>
      <c r="C460" s="27"/>
      <c r="D460" s="215"/>
      <c r="E460" s="27"/>
      <c r="F460" s="215"/>
      <c r="G460" s="27"/>
      <c r="H460" s="215"/>
      <c r="I460" s="27"/>
      <c r="J460" s="215"/>
      <c r="K460" s="27"/>
    </row>
    <row r="461" spans="1:11" x14ac:dyDescent="0.2">
      <c r="A461" s="223"/>
      <c r="B461" s="258"/>
      <c r="C461" s="27"/>
      <c r="D461" s="215"/>
      <c r="E461" s="27"/>
      <c r="F461" s="215"/>
      <c r="G461" s="27"/>
      <c r="H461" s="215"/>
      <c r="I461" s="27"/>
      <c r="J461" s="215"/>
      <c r="K461" s="27"/>
    </row>
    <row r="462" spans="1:11" x14ac:dyDescent="0.2">
      <c r="A462" s="223"/>
      <c r="B462" s="258"/>
      <c r="C462" s="27"/>
      <c r="D462" s="215"/>
      <c r="E462" s="27"/>
      <c r="F462" s="215"/>
      <c r="G462" s="27"/>
      <c r="H462" s="215"/>
      <c r="I462" s="27"/>
      <c r="J462" s="215"/>
      <c r="K462" s="27"/>
    </row>
    <row r="463" spans="1:11" x14ac:dyDescent="0.2">
      <c r="A463" s="223"/>
      <c r="B463" s="258"/>
      <c r="C463" s="27"/>
      <c r="D463" s="215"/>
      <c r="E463" s="27"/>
      <c r="F463" s="215"/>
      <c r="G463" s="27"/>
      <c r="H463" s="215"/>
      <c r="I463" s="27"/>
      <c r="J463" s="215"/>
      <c r="K463" s="27"/>
    </row>
    <row r="464" spans="1:11" x14ac:dyDescent="0.2">
      <c r="A464" s="223"/>
      <c r="B464" s="258"/>
      <c r="C464" s="27"/>
      <c r="D464" s="215"/>
      <c r="E464" s="27"/>
      <c r="F464" s="215"/>
      <c r="G464" s="27"/>
      <c r="H464" s="215"/>
      <c r="I464" s="27"/>
      <c r="J464" s="215"/>
      <c r="K464" s="27"/>
    </row>
    <row r="465" spans="1:11" x14ac:dyDescent="0.2">
      <c r="A465" s="223"/>
      <c r="B465" s="258"/>
      <c r="C465" s="27"/>
      <c r="D465" s="215"/>
      <c r="E465" s="27"/>
      <c r="F465" s="215"/>
      <c r="G465" s="27"/>
      <c r="H465" s="215"/>
      <c r="I465" s="27"/>
      <c r="J465" s="215"/>
      <c r="K465" s="27"/>
    </row>
    <row r="466" spans="1:11" x14ac:dyDescent="0.2">
      <c r="A466" s="223"/>
      <c r="B466" s="258"/>
      <c r="C466" s="27"/>
      <c r="D466" s="215"/>
      <c r="E466" s="27"/>
      <c r="F466" s="215"/>
      <c r="G466" s="27"/>
      <c r="H466" s="215"/>
      <c r="I466" s="27"/>
      <c r="J466" s="215"/>
      <c r="K466" s="27"/>
    </row>
    <row r="467" spans="1:11" x14ac:dyDescent="0.2">
      <c r="A467" s="223"/>
      <c r="B467" s="258"/>
      <c r="C467" s="27"/>
      <c r="D467" s="215"/>
      <c r="E467" s="27"/>
      <c r="F467" s="215"/>
      <c r="G467" s="27"/>
      <c r="H467" s="215"/>
      <c r="I467" s="27"/>
      <c r="J467" s="215"/>
      <c r="K467" s="27"/>
    </row>
    <row r="468" spans="1:11" x14ac:dyDescent="0.2">
      <c r="A468" s="223"/>
      <c r="B468" s="258"/>
      <c r="C468" s="27"/>
      <c r="D468" s="215"/>
      <c r="E468" s="27"/>
      <c r="F468" s="215"/>
      <c r="G468" s="27"/>
      <c r="H468" s="215"/>
      <c r="I468" s="27"/>
      <c r="J468" s="215"/>
      <c r="K468" s="27"/>
    </row>
    <row r="469" spans="1:11" x14ac:dyDescent="0.2">
      <c r="A469" s="223"/>
      <c r="B469" s="258"/>
      <c r="C469" s="27"/>
      <c r="D469" s="215"/>
      <c r="E469" s="27"/>
      <c r="F469" s="215"/>
      <c r="G469" s="27"/>
      <c r="H469" s="215"/>
      <c r="I469" s="27"/>
      <c r="J469" s="215"/>
      <c r="K469" s="27"/>
    </row>
    <row r="470" spans="1:11" x14ac:dyDescent="0.2">
      <c r="A470" s="223"/>
      <c r="B470" s="258"/>
      <c r="C470" s="27"/>
      <c r="D470" s="215"/>
      <c r="E470" s="27"/>
      <c r="F470" s="215"/>
      <c r="G470" s="27"/>
      <c r="H470" s="215"/>
      <c r="I470" s="27"/>
      <c r="J470" s="215"/>
      <c r="K470" s="27"/>
    </row>
    <row r="471" spans="1:11" x14ac:dyDescent="0.2">
      <c r="A471" s="223"/>
      <c r="B471" s="258"/>
      <c r="C471" s="27"/>
      <c r="D471" s="215"/>
      <c r="E471" s="27"/>
      <c r="F471" s="215"/>
      <c r="G471" s="27"/>
      <c r="H471" s="215"/>
      <c r="I471" s="27"/>
      <c r="J471" s="215"/>
      <c r="K471" s="27"/>
    </row>
    <row r="472" spans="1:11" x14ac:dyDescent="0.2">
      <c r="A472" s="223"/>
      <c r="B472" s="258"/>
      <c r="C472" s="27"/>
      <c r="D472" s="215"/>
      <c r="E472" s="27"/>
      <c r="F472" s="215"/>
      <c r="G472" s="27"/>
      <c r="H472" s="215"/>
      <c r="I472" s="27"/>
      <c r="J472" s="215"/>
      <c r="K472" s="27"/>
    </row>
    <row r="473" spans="1:11" x14ac:dyDescent="0.2">
      <c r="A473" s="223"/>
      <c r="B473" s="258"/>
      <c r="C473" s="27"/>
      <c r="D473" s="215"/>
      <c r="E473" s="27"/>
      <c r="F473" s="215"/>
      <c r="G473" s="27"/>
      <c r="H473" s="215"/>
      <c r="I473" s="27"/>
      <c r="J473" s="215"/>
      <c r="K473" s="27"/>
    </row>
    <row r="474" spans="1:11" x14ac:dyDescent="0.2">
      <c r="A474" s="223"/>
      <c r="B474" s="258"/>
      <c r="C474" s="27"/>
      <c r="D474" s="215"/>
      <c r="E474" s="27"/>
      <c r="F474" s="215"/>
      <c r="G474" s="27"/>
      <c r="H474" s="215"/>
      <c r="I474" s="27"/>
      <c r="J474" s="215"/>
      <c r="K474" s="27"/>
    </row>
    <row r="475" spans="1:11" x14ac:dyDescent="0.2">
      <c r="A475" s="223"/>
      <c r="B475" s="258"/>
      <c r="C475" s="27"/>
      <c r="D475" s="215"/>
      <c r="E475" s="27"/>
      <c r="F475" s="215"/>
      <c r="G475" s="27"/>
      <c r="H475" s="215"/>
      <c r="I475" s="27"/>
      <c r="J475" s="215"/>
      <c r="K475" s="27"/>
    </row>
    <row r="476" spans="1:11" x14ac:dyDescent="0.2">
      <c r="A476" s="223"/>
      <c r="B476" s="258"/>
      <c r="C476" s="27"/>
      <c r="D476" s="215"/>
      <c r="E476" s="27"/>
      <c r="F476" s="215"/>
      <c r="G476" s="27"/>
      <c r="H476" s="215"/>
      <c r="I476" s="27"/>
      <c r="J476" s="215"/>
      <c r="K476" s="27"/>
    </row>
    <row r="477" spans="1:11" x14ac:dyDescent="0.2">
      <c r="A477" s="223"/>
      <c r="B477" s="258"/>
      <c r="C477" s="27"/>
      <c r="D477" s="215"/>
      <c r="E477" s="27"/>
      <c r="F477" s="215"/>
      <c r="G477" s="27"/>
      <c r="H477" s="215"/>
      <c r="I477" s="27"/>
      <c r="J477" s="215"/>
      <c r="K477" s="27"/>
    </row>
    <row r="478" spans="1:11" x14ac:dyDescent="0.2">
      <c r="A478" s="223"/>
      <c r="B478" s="258"/>
      <c r="C478" s="27"/>
      <c r="D478" s="215"/>
      <c r="E478" s="27"/>
      <c r="F478" s="215"/>
      <c r="G478" s="27"/>
      <c r="H478" s="215"/>
      <c r="I478" s="27"/>
      <c r="J478" s="215"/>
      <c r="K478" s="27"/>
    </row>
    <row r="479" spans="1:11" x14ac:dyDescent="0.2">
      <c r="A479" s="223"/>
      <c r="B479" s="258"/>
      <c r="C479" s="27"/>
      <c r="D479" s="215"/>
      <c r="E479" s="27"/>
      <c r="F479" s="215"/>
      <c r="G479" s="27"/>
      <c r="H479" s="215"/>
      <c r="I479" s="27"/>
      <c r="J479" s="215"/>
      <c r="K479" s="27"/>
    </row>
    <row r="480" spans="1:11" x14ac:dyDescent="0.2">
      <c r="A480" s="223"/>
      <c r="B480" s="258"/>
      <c r="C480" s="27"/>
      <c r="D480" s="215"/>
      <c r="E480" s="27"/>
      <c r="F480" s="215"/>
      <c r="G480" s="27"/>
      <c r="H480" s="215"/>
      <c r="I480" s="27"/>
      <c r="J480" s="215"/>
      <c r="K480" s="27"/>
    </row>
    <row r="481" spans="1:11" x14ac:dyDescent="0.2">
      <c r="A481" s="223"/>
      <c r="B481" s="258"/>
      <c r="C481" s="27"/>
      <c r="D481" s="215"/>
      <c r="E481" s="27"/>
      <c r="F481" s="215"/>
      <c r="G481" s="27"/>
      <c r="H481" s="215"/>
      <c r="I481" s="27"/>
      <c r="J481" s="215"/>
      <c r="K481" s="27"/>
    </row>
    <row r="482" spans="1:11" x14ac:dyDescent="0.2">
      <c r="A482" s="223"/>
      <c r="B482" s="258"/>
      <c r="C482" s="27"/>
      <c r="D482" s="215"/>
      <c r="E482" s="27"/>
      <c r="F482" s="215"/>
      <c r="G482" s="27"/>
      <c r="H482" s="215"/>
      <c r="I482" s="27"/>
      <c r="J482" s="215"/>
      <c r="K482" s="27"/>
    </row>
    <row r="483" spans="1:11" x14ac:dyDescent="0.2">
      <c r="A483" s="223"/>
      <c r="B483" s="258"/>
      <c r="C483" s="27"/>
      <c r="D483" s="215"/>
      <c r="E483" s="27"/>
      <c r="F483" s="215"/>
      <c r="G483" s="27"/>
      <c r="H483" s="215"/>
      <c r="I483" s="27"/>
      <c r="J483" s="215"/>
      <c r="K483" s="27"/>
    </row>
    <row r="484" spans="1:11" x14ac:dyDescent="0.2">
      <c r="A484" s="223"/>
      <c r="B484" s="258"/>
      <c r="C484" s="27"/>
      <c r="D484" s="215"/>
      <c r="E484" s="27"/>
      <c r="F484" s="215"/>
      <c r="G484" s="27"/>
      <c r="H484" s="215"/>
      <c r="I484" s="27"/>
      <c r="J484" s="215"/>
      <c r="K484" s="27"/>
    </row>
    <row r="485" spans="1:11" x14ac:dyDescent="0.2">
      <c r="A485" s="223"/>
      <c r="B485" s="258"/>
      <c r="C485" s="27"/>
      <c r="D485" s="215"/>
      <c r="E485" s="27"/>
      <c r="F485" s="215"/>
      <c r="G485" s="27"/>
      <c r="H485" s="215"/>
      <c r="I485" s="27"/>
      <c r="J485" s="215"/>
      <c r="K485" s="27"/>
    </row>
    <row r="486" spans="1:11" x14ac:dyDescent="0.2">
      <c r="A486" s="223"/>
      <c r="B486" s="258"/>
      <c r="C486" s="27"/>
      <c r="D486" s="215"/>
      <c r="E486" s="27"/>
      <c r="F486" s="215"/>
      <c r="G486" s="27"/>
      <c r="H486" s="215"/>
      <c r="I486" s="27"/>
      <c r="J486" s="215"/>
      <c r="K486" s="27"/>
    </row>
    <row r="487" spans="1:11" x14ac:dyDescent="0.2">
      <c r="A487" s="223"/>
      <c r="B487" s="258"/>
      <c r="C487" s="27"/>
      <c r="D487" s="215"/>
      <c r="E487" s="27"/>
      <c r="F487" s="215"/>
      <c r="G487" s="27"/>
      <c r="H487" s="215"/>
      <c r="I487" s="27"/>
      <c r="J487" s="215"/>
      <c r="K487" s="27"/>
    </row>
    <row r="488" spans="1:11" x14ac:dyDescent="0.2">
      <c r="A488" s="223"/>
      <c r="B488" s="258"/>
      <c r="C488" s="27"/>
      <c r="D488" s="215"/>
      <c r="E488" s="27"/>
      <c r="F488" s="215"/>
      <c r="G488" s="27"/>
      <c r="H488" s="215"/>
      <c r="I488" s="27"/>
      <c r="J488" s="215"/>
      <c r="K488" s="27"/>
    </row>
    <row r="489" spans="1:11" x14ac:dyDescent="0.2">
      <c r="A489" s="223"/>
      <c r="B489" s="258"/>
      <c r="C489" s="27"/>
      <c r="D489" s="215"/>
      <c r="E489" s="27"/>
      <c r="F489" s="215"/>
      <c r="G489" s="27"/>
      <c r="H489" s="215"/>
      <c r="I489" s="27"/>
      <c r="J489" s="215"/>
      <c r="K489" s="27"/>
    </row>
    <row r="490" spans="1:11" x14ac:dyDescent="0.2">
      <c r="A490" s="223"/>
      <c r="B490" s="258"/>
      <c r="C490" s="27"/>
      <c r="D490" s="215"/>
      <c r="E490" s="27"/>
      <c r="F490" s="215"/>
      <c r="G490" s="27"/>
      <c r="H490" s="215"/>
      <c r="I490" s="27"/>
      <c r="J490" s="215"/>
      <c r="K490" s="27"/>
    </row>
    <row r="491" spans="1:11" x14ac:dyDescent="0.2">
      <c r="A491" s="223"/>
      <c r="B491" s="258"/>
      <c r="C491" s="27"/>
      <c r="D491" s="215"/>
      <c r="E491" s="27"/>
      <c r="F491" s="215"/>
      <c r="G491" s="27"/>
      <c r="H491" s="215"/>
      <c r="I491" s="27"/>
      <c r="J491" s="215"/>
      <c r="K491" s="27"/>
    </row>
    <row r="492" spans="1:11" x14ac:dyDescent="0.2">
      <c r="A492" s="223"/>
      <c r="B492" s="258"/>
      <c r="C492" s="27"/>
      <c r="D492" s="215"/>
      <c r="E492" s="27"/>
      <c r="F492" s="215"/>
      <c r="G492" s="27"/>
      <c r="H492" s="215"/>
      <c r="I492" s="27"/>
      <c r="J492" s="215"/>
      <c r="K492" s="27"/>
    </row>
    <row r="493" spans="1:11" x14ac:dyDescent="0.2">
      <c r="A493" s="223"/>
      <c r="B493" s="258"/>
      <c r="C493" s="27"/>
      <c r="D493" s="215"/>
      <c r="E493" s="27"/>
      <c r="F493" s="215"/>
      <c r="G493" s="27"/>
      <c r="H493" s="215"/>
      <c r="I493" s="27"/>
      <c r="J493" s="215"/>
      <c r="K493" s="27"/>
    </row>
    <row r="494" spans="1:11" x14ac:dyDescent="0.2">
      <c r="A494" s="223"/>
      <c r="B494" s="258"/>
      <c r="C494" s="27"/>
      <c r="D494" s="215"/>
      <c r="E494" s="27"/>
      <c r="F494" s="215"/>
      <c r="G494" s="27"/>
      <c r="H494" s="215"/>
      <c r="I494" s="27"/>
      <c r="J494" s="215"/>
      <c r="K494" s="27"/>
    </row>
    <row r="495" spans="1:11" x14ac:dyDescent="0.2">
      <c r="A495" s="223"/>
      <c r="B495" s="258"/>
      <c r="C495" s="27"/>
      <c r="D495" s="215"/>
      <c r="E495" s="27"/>
      <c r="F495" s="215"/>
      <c r="G495" s="27"/>
      <c r="H495" s="215"/>
      <c r="I495" s="27"/>
      <c r="J495" s="215"/>
      <c r="K495" s="27"/>
    </row>
    <row r="496" spans="1:11" x14ac:dyDescent="0.2">
      <c r="A496" s="223"/>
      <c r="B496" s="258"/>
      <c r="C496" s="27"/>
      <c r="D496" s="215"/>
      <c r="E496" s="27"/>
      <c r="F496" s="215"/>
      <c r="G496" s="27"/>
      <c r="H496" s="215"/>
      <c r="I496" s="27"/>
      <c r="J496" s="215"/>
      <c r="K496" s="27"/>
    </row>
    <row r="497" spans="1:11" x14ac:dyDescent="0.2">
      <c r="A497" s="223"/>
      <c r="B497" s="258"/>
      <c r="C497" s="27"/>
      <c r="D497" s="215"/>
      <c r="E497" s="27"/>
      <c r="F497" s="215"/>
      <c r="G497" s="27"/>
      <c r="H497" s="215"/>
      <c r="I497" s="27"/>
      <c r="J497" s="215"/>
      <c r="K497" s="27"/>
    </row>
    <row r="498" spans="1:11" x14ac:dyDescent="0.2">
      <c r="A498" s="223"/>
      <c r="B498" s="258"/>
      <c r="C498" s="27"/>
      <c r="D498" s="215"/>
      <c r="E498" s="27"/>
      <c r="F498" s="215"/>
      <c r="G498" s="27"/>
      <c r="H498" s="215"/>
      <c r="I498" s="27"/>
      <c r="J498" s="215"/>
      <c r="K498" s="27"/>
    </row>
    <row r="499" spans="1:11" x14ac:dyDescent="0.2">
      <c r="A499" s="223"/>
      <c r="B499" s="258"/>
      <c r="C499" s="27"/>
      <c r="D499" s="215"/>
      <c r="E499" s="27"/>
      <c r="F499" s="215"/>
      <c r="G499" s="27"/>
      <c r="H499" s="215"/>
      <c r="I499" s="27"/>
      <c r="J499" s="215"/>
      <c r="K499" s="27"/>
    </row>
    <row r="500" spans="1:11" x14ac:dyDescent="0.2">
      <c r="A500" s="223"/>
      <c r="B500" s="258"/>
      <c r="C500" s="27"/>
      <c r="D500" s="215"/>
      <c r="E500" s="27"/>
      <c r="F500" s="215"/>
      <c r="G500" s="27"/>
      <c r="H500" s="215"/>
      <c r="I500" s="27"/>
      <c r="J500" s="215"/>
      <c r="K500" s="27"/>
    </row>
    <row r="501" spans="1:11" x14ac:dyDescent="0.2">
      <c r="A501" s="223"/>
      <c r="B501" s="258"/>
      <c r="C501" s="27"/>
      <c r="D501" s="215"/>
      <c r="E501" s="27"/>
      <c r="F501" s="215"/>
      <c r="G501" s="27"/>
      <c r="H501" s="215"/>
      <c r="I501" s="27"/>
      <c r="J501" s="215"/>
      <c r="K501" s="27"/>
    </row>
    <row r="502" spans="1:11" x14ac:dyDescent="0.2">
      <c r="A502" s="223"/>
      <c r="B502" s="258"/>
      <c r="C502" s="27"/>
      <c r="D502" s="215"/>
      <c r="E502" s="27"/>
      <c r="F502" s="215"/>
      <c r="G502" s="27"/>
      <c r="H502" s="215"/>
      <c r="I502" s="27"/>
      <c r="J502" s="215"/>
      <c r="K502" s="27"/>
    </row>
    <row r="503" spans="1:11" x14ac:dyDescent="0.2">
      <c r="A503" s="223"/>
      <c r="B503" s="258"/>
      <c r="C503" s="27"/>
      <c r="D503" s="215"/>
      <c r="E503" s="27"/>
      <c r="F503" s="215"/>
      <c r="G503" s="27"/>
      <c r="H503" s="215"/>
      <c r="I503" s="27"/>
      <c r="J503" s="215"/>
      <c r="K503" s="27"/>
    </row>
    <row r="504" spans="1:11" x14ac:dyDescent="0.2">
      <c r="A504" s="223"/>
      <c r="B504" s="258"/>
      <c r="C504" s="27"/>
      <c r="D504" s="215"/>
      <c r="E504" s="27"/>
      <c r="F504" s="215"/>
      <c r="G504" s="27"/>
      <c r="H504" s="215"/>
      <c r="I504" s="27"/>
      <c r="J504" s="215"/>
      <c r="K504" s="27"/>
    </row>
    <row r="505" spans="1:11" x14ac:dyDescent="0.2">
      <c r="A505" s="223"/>
      <c r="B505" s="258"/>
      <c r="C505" s="27"/>
      <c r="D505" s="215"/>
      <c r="E505" s="27"/>
      <c r="F505" s="215"/>
      <c r="G505" s="27"/>
      <c r="H505" s="215"/>
      <c r="I505" s="27"/>
      <c r="J505" s="215"/>
      <c r="K505" s="27"/>
    </row>
    <row r="506" spans="1:11" x14ac:dyDescent="0.2">
      <c r="A506" s="223"/>
      <c r="B506" s="258"/>
      <c r="C506" s="27"/>
      <c r="D506" s="215"/>
      <c r="E506" s="27"/>
      <c r="F506" s="215"/>
      <c r="G506" s="27"/>
      <c r="H506" s="215"/>
      <c r="I506" s="27"/>
      <c r="J506" s="215"/>
      <c r="K506" s="27"/>
    </row>
    <row r="507" spans="1:11" x14ac:dyDescent="0.2">
      <c r="A507" s="223"/>
      <c r="B507" s="258"/>
      <c r="C507" s="27"/>
      <c r="D507" s="215"/>
      <c r="E507" s="27"/>
      <c r="F507" s="215"/>
      <c r="G507" s="27"/>
      <c r="H507" s="215"/>
      <c r="I507" s="27"/>
      <c r="J507" s="215"/>
      <c r="K507" s="27"/>
    </row>
    <row r="508" spans="1:11" x14ac:dyDescent="0.2">
      <c r="A508" s="223"/>
      <c r="B508" s="258"/>
      <c r="C508" s="27"/>
      <c r="D508" s="215"/>
      <c r="E508" s="27"/>
      <c r="F508" s="215"/>
      <c r="G508" s="27"/>
      <c r="H508" s="215"/>
      <c r="I508" s="27"/>
      <c r="J508" s="215"/>
      <c r="K508" s="27"/>
    </row>
    <row r="509" spans="1:11" x14ac:dyDescent="0.2">
      <c r="A509" s="223"/>
      <c r="B509" s="258"/>
      <c r="C509" s="27"/>
      <c r="D509" s="215"/>
      <c r="E509" s="27"/>
      <c r="F509" s="215"/>
      <c r="G509" s="27"/>
      <c r="H509" s="215"/>
      <c r="I509" s="27"/>
      <c r="J509" s="215"/>
      <c r="K509" s="27"/>
    </row>
    <row r="510" spans="1:11" x14ac:dyDescent="0.2">
      <c r="A510" s="223"/>
      <c r="B510" s="258"/>
      <c r="C510" s="27"/>
      <c r="D510" s="215"/>
      <c r="E510" s="27"/>
      <c r="F510" s="215"/>
      <c r="G510" s="27"/>
      <c r="H510" s="215"/>
      <c r="I510" s="27"/>
      <c r="J510" s="215"/>
      <c r="K510" s="27"/>
    </row>
    <row r="511" spans="1:11" x14ac:dyDescent="0.2">
      <c r="A511" s="223"/>
      <c r="B511" s="258"/>
      <c r="C511" s="27"/>
      <c r="D511" s="215"/>
      <c r="E511" s="27"/>
      <c r="F511" s="215"/>
      <c r="G511" s="27"/>
      <c r="H511" s="215"/>
      <c r="I511" s="27"/>
      <c r="J511" s="215"/>
      <c r="K511" s="27"/>
    </row>
    <row r="512" spans="1:11" x14ac:dyDescent="0.2">
      <c r="A512" s="223"/>
      <c r="B512" s="258"/>
      <c r="C512" s="27"/>
      <c r="D512" s="215"/>
      <c r="E512" s="27"/>
      <c r="F512" s="215"/>
      <c r="G512" s="27"/>
      <c r="H512" s="215"/>
      <c r="I512" s="27"/>
      <c r="J512" s="215"/>
      <c r="K512" s="27"/>
    </row>
    <row r="513" spans="1:11" x14ac:dyDescent="0.2">
      <c r="A513" s="223"/>
      <c r="B513" s="258"/>
      <c r="C513" s="27"/>
      <c r="D513" s="215"/>
      <c r="E513" s="27"/>
      <c r="F513" s="215"/>
      <c r="G513" s="27"/>
      <c r="H513" s="215"/>
      <c r="I513" s="27"/>
      <c r="J513" s="215"/>
      <c r="K513" s="27"/>
    </row>
    <row r="514" spans="1:11" x14ac:dyDescent="0.2">
      <c r="A514" s="223"/>
      <c r="B514" s="258"/>
      <c r="C514" s="27"/>
      <c r="D514" s="215"/>
      <c r="E514" s="27"/>
      <c r="F514" s="215"/>
      <c r="G514" s="27"/>
      <c r="H514" s="215"/>
      <c r="I514" s="27"/>
      <c r="J514" s="215"/>
      <c r="K514" s="27"/>
    </row>
    <row r="515" spans="1:11" x14ac:dyDescent="0.2">
      <c r="A515" s="223"/>
      <c r="B515" s="258"/>
      <c r="C515" s="27"/>
      <c r="D515" s="215"/>
      <c r="E515" s="27"/>
      <c r="F515" s="215"/>
      <c r="G515" s="27"/>
      <c r="H515" s="215"/>
      <c r="I515" s="27"/>
      <c r="J515" s="215"/>
      <c r="K515" s="27"/>
    </row>
    <row r="516" spans="1:11" x14ac:dyDescent="0.2">
      <c r="A516" s="223"/>
      <c r="B516" s="258"/>
      <c r="C516" s="27"/>
      <c r="D516" s="215"/>
      <c r="E516" s="27"/>
      <c r="F516" s="215"/>
      <c r="G516" s="27"/>
      <c r="H516" s="215"/>
      <c r="I516" s="27"/>
      <c r="J516" s="215"/>
      <c r="K516" s="27"/>
    </row>
    <row r="517" spans="1:11" x14ac:dyDescent="0.2">
      <c r="A517" s="223"/>
      <c r="B517" s="258"/>
      <c r="C517" s="27"/>
      <c r="D517" s="215"/>
      <c r="E517" s="27"/>
      <c r="F517" s="215"/>
      <c r="G517" s="27"/>
      <c r="H517" s="215"/>
      <c r="I517" s="27"/>
      <c r="J517" s="215"/>
      <c r="K517" s="27"/>
    </row>
    <row r="518" spans="1:11" x14ac:dyDescent="0.2">
      <c r="A518" s="223"/>
      <c r="B518" s="258"/>
      <c r="C518" s="27"/>
      <c r="D518" s="215"/>
      <c r="E518" s="27"/>
      <c r="F518" s="215"/>
      <c r="G518" s="27"/>
      <c r="H518" s="215"/>
      <c r="I518" s="27"/>
      <c r="J518" s="215"/>
      <c r="K518" s="27"/>
    </row>
    <row r="519" spans="1:11" x14ac:dyDescent="0.2">
      <c r="A519" s="223"/>
      <c r="B519" s="258"/>
      <c r="C519" s="27"/>
      <c r="D519" s="215"/>
      <c r="E519" s="27"/>
      <c r="F519" s="215"/>
      <c r="G519" s="27"/>
      <c r="H519" s="215"/>
      <c r="I519" s="27"/>
      <c r="J519" s="215"/>
      <c r="K519" s="27"/>
    </row>
    <row r="520" spans="1:11" x14ac:dyDescent="0.2">
      <c r="A520" s="223"/>
      <c r="B520" s="258"/>
      <c r="C520" s="27"/>
      <c r="D520" s="215"/>
      <c r="E520" s="27"/>
      <c r="F520" s="215"/>
      <c r="G520" s="27"/>
      <c r="H520" s="215"/>
      <c r="I520" s="27"/>
      <c r="J520" s="215"/>
      <c r="K520" s="27"/>
    </row>
    <row r="521" spans="1:11" x14ac:dyDescent="0.2">
      <c r="A521" s="223"/>
      <c r="B521" s="258"/>
      <c r="C521" s="27"/>
      <c r="D521" s="215"/>
      <c r="E521" s="27"/>
      <c r="F521" s="215"/>
      <c r="G521" s="27"/>
      <c r="H521" s="215"/>
      <c r="I521" s="27"/>
      <c r="J521" s="215"/>
      <c r="K521" s="27"/>
    </row>
    <row r="522" spans="1:11" x14ac:dyDescent="0.2">
      <c r="A522" s="223"/>
      <c r="B522" s="258"/>
      <c r="C522" s="27"/>
      <c r="D522" s="215"/>
      <c r="E522" s="27"/>
      <c r="F522" s="215"/>
      <c r="G522" s="27"/>
      <c r="H522" s="215"/>
      <c r="I522" s="27"/>
      <c r="J522" s="215"/>
      <c r="K522" s="27"/>
    </row>
    <row r="523" spans="1:11" x14ac:dyDescent="0.2">
      <c r="A523" s="223"/>
      <c r="B523" s="258"/>
      <c r="C523" s="27"/>
      <c r="D523" s="215"/>
      <c r="E523" s="27"/>
      <c r="F523" s="215"/>
      <c r="G523" s="27"/>
      <c r="H523" s="215"/>
      <c r="I523" s="27"/>
      <c r="J523" s="215"/>
      <c r="K523" s="27"/>
    </row>
    <row r="524" spans="1:11" x14ac:dyDescent="0.2">
      <c r="A524" s="223"/>
      <c r="B524" s="258"/>
      <c r="C524" s="27"/>
      <c r="D524" s="215"/>
      <c r="E524" s="27"/>
      <c r="F524" s="215"/>
      <c r="G524" s="27"/>
      <c r="H524" s="215"/>
      <c r="I524" s="27"/>
      <c r="J524" s="215"/>
      <c r="K524" s="27"/>
    </row>
    <row r="525" spans="1:11" x14ac:dyDescent="0.2">
      <c r="A525" s="223"/>
      <c r="B525" s="258"/>
      <c r="C525" s="27"/>
      <c r="D525" s="215"/>
      <c r="E525" s="27"/>
      <c r="F525" s="215"/>
      <c r="G525" s="27"/>
      <c r="H525" s="215"/>
      <c r="I525" s="27"/>
      <c r="J525" s="215"/>
      <c r="K525" s="27"/>
    </row>
    <row r="526" spans="1:11" x14ac:dyDescent="0.2">
      <c r="A526" s="223"/>
      <c r="B526" s="258"/>
      <c r="C526" s="27"/>
      <c r="D526" s="215"/>
      <c r="E526" s="27"/>
      <c r="F526" s="215"/>
      <c r="G526" s="27"/>
      <c r="H526" s="215"/>
      <c r="I526" s="27"/>
      <c r="J526" s="215"/>
      <c r="K526" s="27"/>
    </row>
    <row r="527" spans="1:11" x14ac:dyDescent="0.2">
      <c r="A527" s="223"/>
      <c r="B527" s="258"/>
      <c r="C527" s="27"/>
      <c r="D527" s="215"/>
      <c r="E527" s="27"/>
      <c r="F527" s="215"/>
      <c r="G527" s="27"/>
      <c r="H527" s="215"/>
      <c r="I527" s="27"/>
      <c r="J527" s="215"/>
      <c r="K527" s="27"/>
    </row>
    <row r="528" spans="1:11" x14ac:dyDescent="0.2">
      <c r="A528" s="223"/>
      <c r="B528" s="258"/>
      <c r="C528" s="27"/>
      <c r="D528" s="215"/>
      <c r="E528" s="27"/>
      <c r="F528" s="215"/>
      <c r="G528" s="27"/>
      <c r="H528" s="215"/>
      <c r="I528" s="27"/>
      <c r="J528" s="215"/>
      <c r="K528" s="27"/>
    </row>
    <row r="529" spans="1:11" x14ac:dyDescent="0.2">
      <c r="A529" s="223"/>
      <c r="B529" s="258"/>
      <c r="C529" s="27"/>
      <c r="D529" s="215"/>
      <c r="E529" s="27"/>
      <c r="F529" s="215"/>
      <c r="G529" s="27"/>
      <c r="H529" s="215"/>
      <c r="I529" s="27"/>
      <c r="J529" s="215"/>
      <c r="K529" s="27"/>
    </row>
    <row r="530" spans="1:11" x14ac:dyDescent="0.2">
      <c r="A530" s="223"/>
      <c r="B530" s="258"/>
      <c r="C530" s="27"/>
      <c r="D530" s="215"/>
      <c r="E530" s="27"/>
      <c r="F530" s="215"/>
      <c r="G530" s="27"/>
      <c r="H530" s="215"/>
      <c r="I530" s="27"/>
      <c r="J530" s="215"/>
      <c r="K530" s="27"/>
    </row>
    <row r="531" spans="1:11" x14ac:dyDescent="0.2">
      <c r="A531" s="223"/>
      <c r="B531" s="258"/>
      <c r="C531" s="27"/>
      <c r="D531" s="215"/>
      <c r="E531" s="27"/>
      <c r="F531" s="215"/>
      <c r="G531" s="27"/>
      <c r="H531" s="215"/>
      <c r="I531" s="27"/>
      <c r="J531" s="215"/>
      <c r="K531" s="27"/>
    </row>
    <row r="532" spans="1:11" x14ac:dyDescent="0.2">
      <c r="A532" s="223"/>
      <c r="B532" s="258"/>
      <c r="C532" s="27"/>
      <c r="D532" s="215"/>
      <c r="E532" s="27"/>
      <c r="F532" s="215"/>
      <c r="G532" s="27"/>
      <c r="H532" s="215"/>
      <c r="I532" s="27"/>
      <c r="J532" s="215"/>
      <c r="K532" s="27"/>
    </row>
    <row r="533" spans="1:11" x14ac:dyDescent="0.2">
      <c r="A533" s="223"/>
      <c r="B533" s="258"/>
      <c r="C533" s="27"/>
      <c r="D533" s="215"/>
      <c r="E533" s="27"/>
      <c r="F533" s="215"/>
      <c r="G533" s="27"/>
      <c r="H533" s="215"/>
      <c r="I533" s="27"/>
      <c r="J533" s="215"/>
      <c r="K533" s="27"/>
    </row>
    <row r="534" spans="1:11" x14ac:dyDescent="0.2">
      <c r="A534" s="223"/>
      <c r="B534" s="258"/>
      <c r="C534" s="27"/>
      <c r="D534" s="215"/>
      <c r="E534" s="27"/>
      <c r="F534" s="215"/>
      <c r="G534" s="27"/>
      <c r="H534" s="215"/>
      <c r="I534" s="27"/>
      <c r="J534" s="215"/>
      <c r="K534" s="27"/>
    </row>
    <row r="535" spans="1:11" x14ac:dyDescent="0.2">
      <c r="A535" s="223"/>
      <c r="B535" s="258"/>
      <c r="C535" s="27"/>
      <c r="D535" s="215"/>
      <c r="E535" s="27"/>
      <c r="F535" s="215"/>
      <c r="G535" s="27"/>
      <c r="H535" s="215"/>
      <c r="I535" s="27"/>
      <c r="J535" s="215"/>
      <c r="K535" s="27"/>
    </row>
    <row r="536" spans="1:11" x14ac:dyDescent="0.2">
      <c r="A536" s="223"/>
      <c r="B536" s="258"/>
      <c r="C536" s="27"/>
      <c r="D536" s="215"/>
      <c r="E536" s="27"/>
      <c r="F536" s="215"/>
      <c r="G536" s="27"/>
      <c r="H536" s="215"/>
      <c r="I536" s="27"/>
      <c r="J536" s="215"/>
      <c r="K536" s="27"/>
    </row>
    <row r="537" spans="1:11" x14ac:dyDescent="0.2">
      <c r="A537" s="223"/>
      <c r="B537" s="258"/>
      <c r="C537" s="27"/>
      <c r="D537" s="215"/>
      <c r="E537" s="27"/>
      <c r="F537" s="215"/>
      <c r="G537" s="27"/>
      <c r="H537" s="215"/>
      <c r="I537" s="27"/>
      <c r="J537" s="215"/>
      <c r="K537" s="27"/>
    </row>
    <row r="538" spans="1:11" x14ac:dyDescent="0.2">
      <c r="A538" s="223"/>
      <c r="B538" s="258"/>
      <c r="C538" s="27"/>
      <c r="D538" s="215"/>
      <c r="E538" s="27"/>
      <c r="F538" s="215"/>
      <c r="G538" s="27"/>
      <c r="H538" s="215"/>
      <c r="I538" s="27"/>
      <c r="J538" s="215"/>
      <c r="K538" s="27"/>
    </row>
    <row r="539" spans="1:11" x14ac:dyDescent="0.2">
      <c r="A539" s="223"/>
      <c r="B539" s="258"/>
      <c r="C539" s="27"/>
      <c r="D539" s="215"/>
      <c r="E539" s="27"/>
      <c r="F539" s="215"/>
      <c r="G539" s="27"/>
      <c r="H539" s="215"/>
      <c r="I539" s="27"/>
      <c r="J539" s="215"/>
      <c r="K539" s="27"/>
    </row>
    <row r="540" spans="1:11" x14ac:dyDescent="0.2">
      <c r="A540" s="223"/>
      <c r="B540" s="258"/>
      <c r="C540" s="27"/>
      <c r="D540" s="215"/>
      <c r="E540" s="27"/>
      <c r="F540" s="215"/>
      <c r="G540" s="27"/>
      <c r="H540" s="215"/>
      <c r="I540" s="27"/>
      <c r="J540" s="215"/>
      <c r="K540" s="27"/>
    </row>
    <row r="541" spans="1:11" x14ac:dyDescent="0.2">
      <c r="A541" s="223"/>
      <c r="B541" s="258"/>
      <c r="C541" s="27"/>
      <c r="D541" s="215"/>
      <c r="E541" s="27"/>
      <c r="F541" s="215"/>
      <c r="G541" s="27"/>
      <c r="H541" s="215"/>
      <c r="I541" s="27"/>
      <c r="J541" s="215"/>
      <c r="K541" s="27"/>
    </row>
    <row r="542" spans="1:11" x14ac:dyDescent="0.2">
      <c r="A542" s="223"/>
      <c r="B542" s="258"/>
      <c r="C542" s="27"/>
      <c r="D542" s="215"/>
      <c r="E542" s="27"/>
      <c r="F542" s="215"/>
      <c r="G542" s="27"/>
      <c r="H542" s="215"/>
      <c r="I542" s="27"/>
      <c r="J542" s="215"/>
      <c r="K542" s="27"/>
    </row>
    <row r="543" spans="1:11" x14ac:dyDescent="0.2">
      <c r="A543" s="223"/>
      <c r="B543" s="258"/>
      <c r="C543" s="27"/>
      <c r="D543" s="215"/>
      <c r="E543" s="27"/>
      <c r="F543" s="215"/>
      <c r="G543" s="27"/>
      <c r="H543" s="215"/>
      <c r="I543" s="27"/>
      <c r="J543" s="215"/>
      <c r="K543" s="27"/>
    </row>
    <row r="544" spans="1:11" x14ac:dyDescent="0.2">
      <c r="A544" s="223"/>
      <c r="B544" s="258"/>
      <c r="C544" s="27"/>
      <c r="D544" s="215"/>
      <c r="E544" s="27"/>
      <c r="F544" s="215"/>
      <c r="G544" s="27"/>
      <c r="H544" s="215"/>
      <c r="I544" s="27"/>
      <c r="J544" s="215"/>
      <c r="K544" s="27"/>
    </row>
    <row r="545" spans="1:11" x14ac:dyDescent="0.2">
      <c r="A545" s="223"/>
      <c r="B545" s="258"/>
      <c r="C545" s="27"/>
      <c r="D545" s="215"/>
      <c r="E545" s="27"/>
      <c r="F545" s="215"/>
      <c r="G545" s="27"/>
      <c r="H545" s="215"/>
      <c r="I545" s="27"/>
      <c r="J545" s="215"/>
      <c r="K545" s="27"/>
    </row>
    <row r="546" spans="1:11" x14ac:dyDescent="0.2">
      <c r="A546" s="223"/>
      <c r="B546" s="258"/>
      <c r="C546" s="27"/>
      <c r="D546" s="215"/>
      <c r="E546" s="27"/>
      <c r="F546" s="215"/>
      <c r="G546" s="27"/>
      <c r="H546" s="215"/>
      <c r="I546" s="27"/>
      <c r="J546" s="215"/>
      <c r="K546" s="27"/>
    </row>
    <row r="547" spans="1:11" x14ac:dyDescent="0.2">
      <c r="A547" s="223"/>
      <c r="B547" s="258"/>
      <c r="C547" s="27"/>
      <c r="D547" s="215"/>
      <c r="E547" s="27"/>
      <c r="F547" s="215"/>
      <c r="G547" s="27"/>
      <c r="H547" s="215"/>
      <c r="I547" s="27"/>
      <c r="J547" s="215"/>
      <c r="K547" s="27"/>
    </row>
    <row r="548" spans="1:11" x14ac:dyDescent="0.2">
      <c r="A548" s="223"/>
      <c r="B548" s="258"/>
      <c r="C548" s="27"/>
      <c r="D548" s="215"/>
      <c r="E548" s="27"/>
      <c r="F548" s="215"/>
      <c r="G548" s="27"/>
      <c r="H548" s="215"/>
      <c r="I548" s="27"/>
      <c r="J548" s="215"/>
      <c r="K548" s="27"/>
    </row>
    <row r="549" spans="1:11" x14ac:dyDescent="0.2">
      <c r="A549" s="223"/>
      <c r="B549" s="258"/>
      <c r="C549" s="27"/>
      <c r="D549" s="215"/>
      <c r="E549" s="27"/>
      <c r="F549" s="215"/>
      <c r="G549" s="27"/>
      <c r="H549" s="215"/>
      <c r="I549" s="27"/>
      <c r="J549" s="215"/>
      <c r="K549" s="27"/>
    </row>
    <row r="550" spans="1:11" x14ac:dyDescent="0.2">
      <c r="A550" s="223"/>
      <c r="B550" s="258"/>
      <c r="C550" s="27"/>
      <c r="D550" s="215"/>
      <c r="E550" s="27"/>
      <c r="F550" s="215"/>
      <c r="G550" s="27"/>
      <c r="H550" s="215"/>
      <c r="I550" s="27"/>
      <c r="J550" s="215"/>
      <c r="K550" s="27"/>
    </row>
    <row r="551" spans="1:11" x14ac:dyDescent="0.2">
      <c r="A551" s="223"/>
      <c r="B551" s="258"/>
      <c r="C551" s="27"/>
      <c r="D551" s="215"/>
      <c r="E551" s="27"/>
      <c r="F551" s="215"/>
      <c r="G551" s="27"/>
      <c r="H551" s="215"/>
      <c r="I551" s="27"/>
      <c r="J551" s="215"/>
      <c r="K551" s="27"/>
    </row>
    <row r="552" spans="1:11" x14ac:dyDescent="0.2">
      <c r="A552" s="223"/>
      <c r="B552" s="258"/>
      <c r="C552" s="27"/>
      <c r="D552" s="215"/>
      <c r="E552" s="27"/>
      <c r="F552" s="215"/>
      <c r="G552" s="27"/>
      <c r="H552" s="215"/>
      <c r="I552" s="27"/>
      <c r="J552" s="215"/>
      <c r="K552" s="27"/>
    </row>
    <row r="553" spans="1:11" x14ac:dyDescent="0.2">
      <c r="A553" s="223"/>
      <c r="B553" s="258"/>
      <c r="C553" s="27"/>
      <c r="D553" s="215"/>
      <c r="E553" s="27"/>
      <c r="F553" s="215"/>
      <c r="G553" s="27"/>
      <c r="H553" s="215"/>
      <c r="I553" s="27"/>
      <c r="J553" s="215"/>
      <c r="K553" s="27"/>
    </row>
    <row r="554" spans="1:11" x14ac:dyDescent="0.2">
      <c r="A554" s="223"/>
      <c r="B554" s="258"/>
      <c r="C554" s="27"/>
      <c r="D554" s="215"/>
      <c r="E554" s="27"/>
      <c r="F554" s="215"/>
      <c r="G554" s="27"/>
      <c r="H554" s="215"/>
      <c r="I554" s="27"/>
      <c r="J554" s="215"/>
      <c r="K554" s="27"/>
    </row>
    <row r="555" spans="1:11" x14ac:dyDescent="0.2">
      <c r="A555" s="223"/>
      <c r="B555" s="258"/>
      <c r="C555" s="27"/>
      <c r="D555" s="215"/>
      <c r="E555" s="27"/>
      <c r="F555" s="215"/>
      <c r="G555" s="27"/>
      <c r="H555" s="215"/>
      <c r="I555" s="27"/>
      <c r="J555" s="215"/>
      <c r="K555" s="27"/>
    </row>
    <row r="556" spans="1:11" x14ac:dyDescent="0.2">
      <c r="A556" s="223"/>
      <c r="B556" s="258"/>
      <c r="C556" s="27"/>
      <c r="D556" s="215"/>
      <c r="E556" s="27"/>
      <c r="F556" s="215"/>
      <c r="G556" s="27"/>
      <c r="H556" s="215"/>
      <c r="I556" s="27"/>
      <c r="J556" s="215"/>
      <c r="K556" s="27"/>
    </row>
    <row r="557" spans="1:11" x14ac:dyDescent="0.2">
      <c r="A557" s="223"/>
      <c r="B557" s="258"/>
      <c r="C557" s="27"/>
      <c r="D557" s="215"/>
      <c r="E557" s="27"/>
      <c r="F557" s="215"/>
      <c r="G557" s="27"/>
      <c r="H557" s="215"/>
      <c r="I557" s="27"/>
      <c r="J557" s="215"/>
      <c r="K557" s="27"/>
    </row>
    <row r="558" spans="1:11" x14ac:dyDescent="0.2">
      <c r="A558" s="223"/>
      <c r="B558" s="258"/>
      <c r="C558" s="27"/>
      <c r="D558" s="215"/>
      <c r="E558" s="27"/>
      <c r="F558" s="215"/>
      <c r="G558" s="27"/>
      <c r="H558" s="215"/>
      <c r="I558" s="27"/>
      <c r="J558" s="215"/>
      <c r="K558" s="27"/>
    </row>
    <row r="559" spans="1:11" x14ac:dyDescent="0.2">
      <c r="A559" s="223"/>
      <c r="B559" s="258"/>
      <c r="C559" s="27"/>
      <c r="D559" s="215"/>
      <c r="E559" s="27"/>
      <c r="F559" s="215"/>
      <c r="G559" s="27"/>
      <c r="H559" s="215"/>
      <c r="I559" s="27"/>
      <c r="J559" s="215"/>
      <c r="K559" s="27"/>
    </row>
    <row r="560" spans="1:11" x14ac:dyDescent="0.2">
      <c r="A560" s="223"/>
      <c r="B560" s="258"/>
      <c r="C560" s="27"/>
      <c r="D560" s="215"/>
      <c r="E560" s="27"/>
      <c r="F560" s="215"/>
      <c r="G560" s="27"/>
      <c r="H560" s="215"/>
      <c r="I560" s="27"/>
      <c r="J560" s="215"/>
      <c r="K560" s="27"/>
    </row>
    <row r="561" spans="1:11" x14ac:dyDescent="0.2">
      <c r="A561" s="223"/>
      <c r="B561" s="258"/>
      <c r="C561" s="27"/>
      <c r="D561" s="215"/>
      <c r="E561" s="27"/>
      <c r="F561" s="215"/>
      <c r="G561" s="27"/>
      <c r="H561" s="215"/>
      <c r="I561" s="27"/>
      <c r="J561" s="215"/>
      <c r="K561" s="27"/>
    </row>
    <row r="562" spans="1:11" x14ac:dyDescent="0.2">
      <c r="A562" s="223"/>
      <c r="B562" s="258"/>
      <c r="C562" s="27"/>
      <c r="D562" s="215"/>
      <c r="E562" s="27"/>
      <c r="F562" s="215"/>
      <c r="G562" s="27"/>
      <c r="H562" s="215"/>
      <c r="I562" s="27"/>
      <c r="J562" s="215"/>
      <c r="K562" s="27"/>
    </row>
    <row r="563" spans="1:11" x14ac:dyDescent="0.2">
      <c r="A563" s="223"/>
      <c r="B563" s="258"/>
      <c r="C563" s="27"/>
      <c r="D563" s="215"/>
      <c r="E563" s="27"/>
      <c r="F563" s="215"/>
      <c r="G563" s="27"/>
      <c r="H563" s="215"/>
      <c r="I563" s="27"/>
      <c r="J563" s="215"/>
      <c r="K563" s="27"/>
    </row>
    <row r="564" spans="1:11" x14ac:dyDescent="0.2">
      <c r="A564" s="223"/>
      <c r="B564" s="258"/>
      <c r="C564" s="27"/>
      <c r="D564" s="215"/>
      <c r="E564" s="27"/>
      <c r="F564" s="215"/>
      <c r="G564" s="27"/>
      <c r="H564" s="215"/>
      <c r="I564" s="27"/>
      <c r="J564" s="215"/>
      <c r="K564" s="27"/>
    </row>
    <row r="565" spans="1:11" x14ac:dyDescent="0.2">
      <c r="A565" s="223"/>
      <c r="B565" s="258"/>
      <c r="C565" s="27"/>
      <c r="D565" s="215"/>
      <c r="E565" s="27"/>
      <c r="F565" s="215"/>
      <c r="G565" s="27"/>
      <c r="H565" s="215"/>
      <c r="I565" s="27"/>
      <c r="J565" s="215"/>
      <c r="K565" s="27"/>
    </row>
    <row r="566" spans="1:11" x14ac:dyDescent="0.2">
      <c r="A566" s="223"/>
      <c r="B566" s="258"/>
      <c r="C566" s="27"/>
      <c r="D566" s="215"/>
      <c r="E566" s="27"/>
      <c r="F566" s="215"/>
      <c r="G566" s="27"/>
      <c r="H566" s="215"/>
      <c r="I566" s="27"/>
      <c r="J566" s="215"/>
      <c r="K566" s="27"/>
    </row>
    <row r="567" spans="1:11" x14ac:dyDescent="0.2">
      <c r="A567" s="223"/>
      <c r="B567" s="258"/>
      <c r="C567" s="27"/>
      <c r="D567" s="215"/>
      <c r="E567" s="27"/>
      <c r="F567" s="215"/>
      <c r="G567" s="27"/>
      <c r="H567" s="215"/>
      <c r="I567" s="27"/>
      <c r="J567" s="215"/>
      <c r="K567" s="27"/>
    </row>
    <row r="568" spans="1:11" x14ac:dyDescent="0.2">
      <c r="A568" s="223"/>
      <c r="B568" s="258"/>
      <c r="C568" s="27"/>
      <c r="D568" s="215"/>
      <c r="E568" s="27"/>
      <c r="F568" s="215"/>
      <c r="G568" s="27"/>
      <c r="H568" s="215"/>
      <c r="I568" s="27"/>
      <c r="J568" s="215"/>
      <c r="K568" s="27"/>
    </row>
    <row r="569" spans="1:11" x14ac:dyDescent="0.2">
      <c r="A569" s="223"/>
      <c r="B569" s="258"/>
      <c r="C569" s="27"/>
      <c r="D569" s="215"/>
      <c r="E569" s="27"/>
      <c r="F569" s="215"/>
      <c r="G569" s="27"/>
      <c r="H569" s="215"/>
      <c r="I569" s="27"/>
      <c r="J569" s="215"/>
      <c r="K569" s="27"/>
    </row>
    <row r="570" spans="1:11" x14ac:dyDescent="0.2">
      <c r="A570" s="223"/>
      <c r="B570" s="258"/>
      <c r="C570" s="27"/>
      <c r="D570" s="215"/>
      <c r="E570" s="27"/>
      <c r="F570" s="215"/>
      <c r="G570" s="27"/>
      <c r="H570" s="215"/>
      <c r="I570" s="27"/>
      <c r="J570" s="215"/>
      <c r="K570" s="27"/>
    </row>
    <row r="571" spans="1:11" x14ac:dyDescent="0.2">
      <c r="A571" s="223"/>
      <c r="B571" s="258"/>
      <c r="C571" s="27"/>
      <c r="D571" s="215"/>
      <c r="E571" s="27"/>
      <c r="F571" s="215"/>
      <c r="G571" s="27"/>
      <c r="H571" s="215"/>
      <c r="I571" s="27"/>
      <c r="J571" s="215"/>
      <c r="K571" s="27"/>
    </row>
    <row r="572" spans="1:11" x14ac:dyDescent="0.2">
      <c r="A572" s="223"/>
      <c r="B572" s="258"/>
      <c r="C572" s="27"/>
      <c r="D572" s="215"/>
      <c r="E572" s="27"/>
      <c r="F572" s="215"/>
      <c r="G572" s="27"/>
      <c r="H572" s="215"/>
      <c r="I572" s="27"/>
      <c r="J572" s="215"/>
      <c r="K572" s="27"/>
    </row>
    <row r="573" spans="1:11" x14ac:dyDescent="0.2">
      <c r="A573" s="223"/>
      <c r="B573" s="258"/>
      <c r="C573" s="27"/>
      <c r="D573" s="215"/>
      <c r="E573" s="27"/>
      <c r="F573" s="215"/>
      <c r="G573" s="27"/>
      <c r="H573" s="215"/>
      <c r="I573" s="27"/>
      <c r="J573" s="215"/>
      <c r="K573" s="27"/>
    </row>
    <row r="574" spans="1:11" x14ac:dyDescent="0.2">
      <c r="A574" s="223"/>
      <c r="B574" s="258"/>
      <c r="C574" s="27"/>
      <c r="D574" s="215"/>
      <c r="E574" s="27"/>
      <c r="F574" s="215"/>
      <c r="G574" s="27"/>
      <c r="H574" s="215"/>
      <c r="I574" s="27"/>
      <c r="J574" s="215"/>
      <c r="K574" s="27"/>
    </row>
    <row r="575" spans="1:11" x14ac:dyDescent="0.2">
      <c r="A575" s="223"/>
      <c r="B575" s="258"/>
      <c r="C575" s="27"/>
      <c r="D575" s="215"/>
      <c r="E575" s="27"/>
      <c r="F575" s="215"/>
      <c r="G575" s="27"/>
      <c r="H575" s="215"/>
      <c r="I575" s="27"/>
      <c r="J575" s="215"/>
      <c r="K575" s="27"/>
    </row>
    <row r="576" spans="1:11" x14ac:dyDescent="0.2">
      <c r="A576" s="223"/>
      <c r="B576" s="258"/>
      <c r="C576" s="27"/>
      <c r="D576" s="215"/>
      <c r="E576" s="27"/>
      <c r="F576" s="215"/>
      <c r="G576" s="27"/>
      <c r="H576" s="215"/>
      <c r="I576" s="27"/>
      <c r="J576" s="215"/>
      <c r="K576" s="27"/>
    </row>
    <row r="577" spans="1:11" x14ac:dyDescent="0.2">
      <c r="A577" s="223"/>
      <c r="B577" s="258"/>
      <c r="C577" s="27"/>
      <c r="D577" s="215"/>
      <c r="E577" s="27"/>
      <c r="F577" s="215"/>
      <c r="G577" s="27"/>
      <c r="H577" s="215"/>
      <c r="I577" s="27"/>
      <c r="J577" s="215"/>
      <c r="K577" s="27"/>
    </row>
    <row r="578" spans="1:11" x14ac:dyDescent="0.2">
      <c r="A578" s="223"/>
      <c r="B578" s="258"/>
      <c r="C578" s="27"/>
      <c r="D578" s="215"/>
      <c r="E578" s="27"/>
      <c r="F578" s="215"/>
      <c r="G578" s="27"/>
      <c r="H578" s="215"/>
      <c r="I578" s="27"/>
      <c r="J578" s="215"/>
      <c r="K578" s="27"/>
    </row>
    <row r="579" spans="1:11" x14ac:dyDescent="0.2">
      <c r="A579" s="223"/>
      <c r="B579" s="258"/>
      <c r="C579" s="27"/>
      <c r="D579" s="215"/>
      <c r="E579" s="27"/>
      <c r="F579" s="215"/>
      <c r="G579" s="27"/>
      <c r="H579" s="215"/>
      <c r="I579" s="27"/>
      <c r="J579" s="215"/>
      <c r="K579" s="27"/>
    </row>
    <row r="580" spans="1:11" x14ac:dyDescent="0.2">
      <c r="A580" s="223"/>
      <c r="B580" s="258"/>
      <c r="C580" s="27"/>
      <c r="D580" s="215"/>
      <c r="E580" s="27"/>
      <c r="F580" s="215"/>
      <c r="G580" s="27"/>
      <c r="H580" s="215"/>
      <c r="I580" s="27"/>
      <c r="J580" s="215"/>
      <c r="K580" s="27"/>
    </row>
    <row r="581" spans="1:11" x14ac:dyDescent="0.2">
      <c r="A581" s="223"/>
      <c r="B581" s="258"/>
      <c r="C581" s="27"/>
      <c r="D581" s="215"/>
      <c r="E581" s="27"/>
      <c r="F581" s="215"/>
      <c r="G581" s="27"/>
      <c r="H581" s="215"/>
      <c r="I581" s="27"/>
      <c r="J581" s="215"/>
      <c r="K581" s="27"/>
    </row>
    <row r="582" spans="1:11" x14ac:dyDescent="0.2">
      <c r="A582" s="223"/>
      <c r="B582" s="258"/>
      <c r="C582" s="27"/>
      <c r="D582" s="215"/>
      <c r="E582" s="27"/>
      <c r="F582" s="215"/>
      <c r="G582" s="27"/>
      <c r="H582" s="215"/>
      <c r="I582" s="27"/>
      <c r="J582" s="215"/>
      <c r="K582" s="27"/>
    </row>
    <row r="583" spans="1:11" x14ac:dyDescent="0.2">
      <c r="A583" s="223"/>
      <c r="B583" s="258"/>
      <c r="C583" s="27"/>
      <c r="D583" s="215"/>
      <c r="E583" s="27"/>
      <c r="F583" s="215"/>
      <c r="G583" s="27"/>
      <c r="H583" s="215"/>
      <c r="I583" s="27"/>
      <c r="J583" s="215"/>
      <c r="K583" s="27"/>
    </row>
    <row r="584" spans="1:11" x14ac:dyDescent="0.2">
      <c r="A584" s="223"/>
      <c r="B584" s="258"/>
      <c r="C584" s="27"/>
      <c r="D584" s="215"/>
      <c r="E584" s="27"/>
      <c r="F584" s="215"/>
      <c r="G584" s="27"/>
      <c r="H584" s="215"/>
      <c r="I584" s="27"/>
      <c r="J584" s="215"/>
      <c r="K584" s="27"/>
    </row>
    <row r="585" spans="1:11" x14ac:dyDescent="0.2">
      <c r="A585" s="223"/>
      <c r="B585" s="258"/>
      <c r="C585" s="27"/>
      <c r="D585" s="215"/>
      <c r="E585" s="27"/>
      <c r="F585" s="215"/>
      <c r="G585" s="27"/>
      <c r="H585" s="215"/>
      <c r="I585" s="27"/>
      <c r="J585" s="215"/>
      <c r="K585" s="27"/>
    </row>
    <row r="586" spans="1:11" x14ac:dyDescent="0.2">
      <c r="A586" s="223"/>
      <c r="B586" s="258"/>
      <c r="C586" s="27"/>
      <c r="D586" s="215"/>
      <c r="E586" s="27"/>
      <c r="F586" s="215"/>
      <c r="G586" s="27"/>
      <c r="H586" s="215"/>
      <c r="I586" s="27"/>
      <c r="J586" s="215"/>
      <c r="K586" s="27"/>
    </row>
    <row r="587" spans="1:11" x14ac:dyDescent="0.2">
      <c r="A587" s="223"/>
      <c r="B587" s="258"/>
      <c r="C587" s="27"/>
      <c r="D587" s="215"/>
      <c r="E587" s="27"/>
      <c r="F587" s="215"/>
      <c r="G587" s="27"/>
      <c r="H587" s="215"/>
      <c r="I587" s="27"/>
      <c r="J587" s="215"/>
      <c r="K587" s="27"/>
    </row>
    <row r="588" spans="1:11" x14ac:dyDescent="0.2">
      <c r="A588" s="223"/>
      <c r="B588" s="258"/>
      <c r="C588" s="27"/>
      <c r="D588" s="215"/>
      <c r="E588" s="27"/>
      <c r="F588" s="215"/>
      <c r="G588" s="27"/>
      <c r="H588" s="215"/>
      <c r="I588" s="27"/>
      <c r="J588" s="215"/>
      <c r="K588" s="27"/>
    </row>
    <row r="589" spans="1:11" x14ac:dyDescent="0.2">
      <c r="A589" s="223"/>
      <c r="B589" s="258"/>
      <c r="C589" s="27"/>
      <c r="D589" s="215"/>
      <c r="E589" s="27"/>
      <c r="F589" s="215"/>
      <c r="G589" s="27"/>
      <c r="H589" s="215"/>
      <c r="I589" s="27"/>
      <c r="J589" s="215"/>
      <c r="K589" s="27"/>
    </row>
    <row r="590" spans="1:11" x14ac:dyDescent="0.2">
      <c r="A590" s="223"/>
      <c r="B590" s="258"/>
      <c r="C590" s="27"/>
      <c r="D590" s="215"/>
      <c r="E590" s="27"/>
      <c r="F590" s="215"/>
      <c r="G590" s="27"/>
      <c r="H590" s="215"/>
      <c r="I590" s="27"/>
      <c r="J590" s="215"/>
      <c r="K590" s="27"/>
    </row>
    <row r="591" spans="1:11" x14ac:dyDescent="0.2">
      <c r="A591" s="223"/>
      <c r="B591" s="258"/>
      <c r="C591" s="27"/>
      <c r="D591" s="215"/>
      <c r="E591" s="27"/>
      <c r="F591" s="215"/>
      <c r="G591" s="27"/>
      <c r="H591" s="215"/>
      <c r="I591" s="27"/>
      <c r="J591" s="215"/>
      <c r="K591" s="27"/>
    </row>
    <row r="592" spans="1:11" x14ac:dyDescent="0.2">
      <c r="A592" s="223"/>
      <c r="B592" s="258"/>
      <c r="C592" s="27"/>
      <c r="D592" s="215"/>
      <c r="E592" s="27"/>
      <c r="F592" s="215"/>
      <c r="G592" s="27"/>
      <c r="H592" s="215"/>
      <c r="I592" s="27"/>
      <c r="J592" s="215"/>
      <c r="K592" s="27"/>
    </row>
    <row r="593" spans="1:11" x14ac:dyDescent="0.2">
      <c r="A593" s="223"/>
      <c r="B593" s="258"/>
      <c r="C593" s="27"/>
      <c r="D593" s="215"/>
      <c r="E593" s="27"/>
      <c r="F593" s="215"/>
      <c r="G593" s="27"/>
      <c r="H593" s="215"/>
      <c r="I593" s="27"/>
      <c r="J593" s="215"/>
      <c r="K593" s="27"/>
    </row>
    <row r="594" spans="1:11" x14ac:dyDescent="0.2">
      <c r="A594" s="223"/>
      <c r="B594" s="258"/>
      <c r="C594" s="27"/>
      <c r="D594" s="215"/>
      <c r="E594" s="27"/>
      <c r="F594" s="215"/>
      <c r="G594" s="27"/>
      <c r="H594" s="215"/>
      <c r="I594" s="27"/>
      <c r="J594" s="215"/>
      <c r="K594" s="27"/>
    </row>
    <row r="595" spans="1:11" x14ac:dyDescent="0.2">
      <c r="A595" s="223"/>
      <c r="B595" s="258"/>
      <c r="C595" s="27"/>
      <c r="D595" s="215"/>
      <c r="E595" s="27"/>
      <c r="F595" s="215"/>
      <c r="G595" s="27"/>
      <c r="H595" s="215"/>
      <c r="I595" s="27"/>
      <c r="J595" s="215"/>
      <c r="K595" s="27"/>
    </row>
    <row r="596" spans="1:11" x14ac:dyDescent="0.2">
      <c r="A596" s="223"/>
      <c r="B596" s="258"/>
      <c r="C596" s="27"/>
      <c r="D596" s="215"/>
      <c r="E596" s="27"/>
      <c r="F596" s="215"/>
      <c r="G596" s="27"/>
      <c r="H596" s="215"/>
      <c r="I596" s="27"/>
      <c r="J596" s="215"/>
      <c r="K596" s="27"/>
    </row>
    <row r="597" spans="1:11" x14ac:dyDescent="0.2">
      <c r="A597" s="223"/>
      <c r="B597" s="258"/>
      <c r="C597" s="27"/>
      <c r="D597" s="215"/>
      <c r="E597" s="27"/>
      <c r="F597" s="215"/>
      <c r="G597" s="27"/>
      <c r="H597" s="215"/>
      <c r="I597" s="27"/>
      <c r="J597" s="215"/>
      <c r="K597" s="27"/>
    </row>
    <row r="598" spans="1:11" x14ac:dyDescent="0.2">
      <c r="A598" s="223"/>
      <c r="B598" s="258"/>
      <c r="C598" s="27"/>
      <c r="D598" s="215"/>
      <c r="E598" s="27"/>
      <c r="F598" s="215"/>
      <c r="G598" s="27"/>
      <c r="H598" s="215"/>
      <c r="I598" s="27"/>
      <c r="J598" s="215"/>
      <c r="K598" s="27"/>
    </row>
    <row r="599" spans="1:11" x14ac:dyDescent="0.2">
      <c r="A599" s="223"/>
      <c r="B599" s="258"/>
      <c r="C599" s="27"/>
      <c r="D599" s="215"/>
      <c r="E599" s="27"/>
      <c r="F599" s="215"/>
      <c r="G599" s="27"/>
      <c r="H599" s="215"/>
      <c r="I599" s="27"/>
      <c r="J599" s="215"/>
      <c r="K599" s="27"/>
    </row>
    <row r="600" spans="1:11" x14ac:dyDescent="0.2">
      <c r="A600" s="223"/>
      <c r="B600" s="258"/>
      <c r="C600" s="27"/>
      <c r="D600" s="215"/>
      <c r="E600" s="27"/>
      <c r="F600" s="215"/>
      <c r="G600" s="27"/>
      <c r="H600" s="215"/>
      <c r="I600" s="27"/>
      <c r="J600" s="215"/>
      <c r="K600" s="27"/>
    </row>
    <row r="601" spans="1:11" x14ac:dyDescent="0.2">
      <c r="A601" s="223"/>
      <c r="B601" s="258"/>
      <c r="C601" s="27"/>
      <c r="D601" s="215"/>
      <c r="E601" s="27"/>
      <c r="F601" s="215"/>
      <c r="G601" s="27"/>
      <c r="H601" s="215"/>
      <c r="I601" s="27"/>
      <c r="J601" s="215"/>
      <c r="K601" s="27"/>
    </row>
    <row r="602" spans="1:11" x14ac:dyDescent="0.2">
      <c r="A602" s="223"/>
      <c r="B602" s="258"/>
      <c r="C602" s="27"/>
      <c r="D602" s="215"/>
      <c r="E602" s="27"/>
      <c r="F602" s="215"/>
      <c r="G602" s="27"/>
      <c r="H602" s="215"/>
      <c r="I602" s="27"/>
      <c r="J602" s="215"/>
      <c r="K602" s="27"/>
    </row>
    <row r="603" spans="1:11" x14ac:dyDescent="0.2">
      <c r="A603" s="223"/>
      <c r="B603" s="258"/>
      <c r="C603" s="27"/>
      <c r="D603" s="215"/>
      <c r="E603" s="27"/>
      <c r="F603" s="215"/>
      <c r="G603" s="27"/>
      <c r="H603" s="215"/>
      <c r="I603" s="27"/>
      <c r="J603" s="215"/>
      <c r="K603" s="27"/>
    </row>
    <row r="604" spans="1:11" x14ac:dyDescent="0.2">
      <c r="A604" s="223"/>
      <c r="B604" s="258"/>
      <c r="C604" s="27"/>
      <c r="D604" s="215"/>
      <c r="E604" s="27"/>
      <c r="F604" s="215"/>
      <c r="G604" s="27"/>
      <c r="H604" s="215"/>
      <c r="I604" s="27"/>
      <c r="J604" s="215"/>
      <c r="K604" s="27"/>
    </row>
    <row r="605" spans="1:11" x14ac:dyDescent="0.2">
      <c r="A605" s="223"/>
      <c r="B605" s="258"/>
      <c r="C605" s="27"/>
      <c r="D605" s="215"/>
      <c r="E605" s="27"/>
      <c r="F605" s="215"/>
      <c r="G605" s="27"/>
      <c r="H605" s="215"/>
      <c r="I605" s="27"/>
      <c r="J605" s="215"/>
      <c r="K605" s="27"/>
    </row>
    <row r="606" spans="1:11" x14ac:dyDescent="0.2">
      <c r="A606" s="223"/>
      <c r="B606" s="258"/>
      <c r="C606" s="27"/>
      <c r="D606" s="215"/>
      <c r="E606" s="27"/>
      <c r="F606" s="215"/>
      <c r="G606" s="27"/>
      <c r="H606" s="215"/>
      <c r="I606" s="27"/>
      <c r="J606" s="215"/>
      <c r="K606" s="27"/>
    </row>
    <row r="607" spans="1:11" x14ac:dyDescent="0.2">
      <c r="A607" s="223"/>
      <c r="B607" s="258"/>
      <c r="C607" s="27"/>
      <c r="D607" s="215"/>
      <c r="E607" s="27"/>
      <c r="F607" s="215"/>
      <c r="G607" s="27"/>
      <c r="H607" s="215"/>
      <c r="I607" s="27"/>
      <c r="J607" s="215"/>
      <c r="K607" s="27"/>
    </row>
    <row r="608" spans="1:11" x14ac:dyDescent="0.2">
      <c r="A608" s="223"/>
      <c r="B608" s="258"/>
      <c r="C608" s="27"/>
      <c r="D608" s="215"/>
      <c r="E608" s="27"/>
      <c r="F608" s="215"/>
      <c r="G608" s="27"/>
      <c r="H608" s="215"/>
      <c r="I608" s="27"/>
      <c r="J608" s="215"/>
      <c r="K608" s="27"/>
    </row>
    <row r="609" spans="1:11" x14ac:dyDescent="0.2">
      <c r="A609" s="223"/>
      <c r="B609" s="258"/>
      <c r="C609" s="27"/>
      <c r="D609" s="215"/>
      <c r="E609" s="27"/>
      <c r="F609" s="215"/>
      <c r="G609" s="27"/>
      <c r="H609" s="215"/>
      <c r="I609" s="27"/>
      <c r="J609" s="215"/>
      <c r="K609" s="27"/>
    </row>
    <row r="610" spans="1:11" x14ac:dyDescent="0.2">
      <c r="A610" s="223"/>
      <c r="B610" s="258"/>
      <c r="C610" s="27"/>
      <c r="D610" s="215"/>
      <c r="E610" s="27"/>
      <c r="F610" s="215"/>
      <c r="G610" s="27"/>
      <c r="H610" s="215"/>
      <c r="I610" s="27"/>
      <c r="J610" s="215"/>
      <c r="K610" s="27"/>
    </row>
    <row r="611" spans="1:11" x14ac:dyDescent="0.2">
      <c r="A611" s="223"/>
      <c r="B611" s="258"/>
      <c r="C611" s="27"/>
      <c r="D611" s="215"/>
      <c r="E611" s="27"/>
      <c r="F611" s="215"/>
      <c r="G611" s="27"/>
      <c r="H611" s="215"/>
      <c r="I611" s="27"/>
      <c r="J611" s="215"/>
      <c r="K611" s="27"/>
    </row>
    <row r="612" spans="1:11" x14ac:dyDescent="0.2">
      <c r="A612" s="223"/>
      <c r="B612" s="258"/>
      <c r="C612" s="27"/>
      <c r="D612" s="215"/>
      <c r="E612" s="27"/>
      <c r="F612" s="215"/>
      <c r="G612" s="27"/>
      <c r="H612" s="215"/>
      <c r="I612" s="27"/>
      <c r="J612" s="215"/>
      <c r="K612" s="27"/>
    </row>
    <row r="613" spans="1:11" x14ac:dyDescent="0.2">
      <c r="A613" s="223"/>
      <c r="B613" s="258"/>
      <c r="C613" s="27"/>
      <c r="D613" s="215"/>
      <c r="E613" s="27"/>
      <c r="F613" s="215"/>
      <c r="G613" s="27"/>
      <c r="H613" s="215"/>
      <c r="I613" s="27"/>
      <c r="J613" s="215"/>
      <c r="K613" s="27"/>
    </row>
    <row r="614" spans="1:11" x14ac:dyDescent="0.2">
      <c r="A614" s="223"/>
      <c r="B614" s="258"/>
      <c r="C614" s="27"/>
      <c r="D614" s="215"/>
      <c r="E614" s="27"/>
      <c r="F614" s="215"/>
      <c r="G614" s="27"/>
      <c r="H614" s="215"/>
      <c r="I614" s="27"/>
      <c r="J614" s="215"/>
      <c r="K614" s="27"/>
    </row>
    <row r="615" spans="1:11" x14ac:dyDescent="0.2">
      <c r="A615" s="223"/>
      <c r="B615" s="258"/>
      <c r="C615" s="27"/>
      <c r="D615" s="215"/>
      <c r="E615" s="27"/>
      <c r="F615" s="215"/>
      <c r="G615" s="27"/>
      <c r="H615" s="215"/>
      <c r="I615" s="27"/>
      <c r="J615" s="215"/>
      <c r="K615" s="27"/>
    </row>
    <row r="616" spans="1:11" x14ac:dyDescent="0.2">
      <c r="A616" s="223"/>
      <c r="B616" s="258"/>
      <c r="C616" s="27"/>
      <c r="D616" s="215"/>
      <c r="E616" s="27"/>
      <c r="F616" s="215"/>
      <c r="G616" s="27"/>
      <c r="H616" s="215"/>
      <c r="I616" s="27"/>
      <c r="J616" s="215"/>
      <c r="K616" s="27"/>
    </row>
    <row r="617" spans="1:11" x14ac:dyDescent="0.2">
      <c r="A617" s="223"/>
      <c r="B617" s="258"/>
      <c r="C617" s="27"/>
      <c r="D617" s="215"/>
      <c r="E617" s="27"/>
      <c r="F617" s="215"/>
      <c r="G617" s="27"/>
      <c r="H617" s="215"/>
      <c r="I617" s="27"/>
      <c r="J617" s="215"/>
      <c r="K617" s="27"/>
    </row>
    <row r="618" spans="1:11" x14ac:dyDescent="0.2">
      <c r="A618" s="223"/>
      <c r="B618" s="258"/>
      <c r="C618" s="27"/>
      <c r="D618" s="215"/>
      <c r="E618" s="27"/>
      <c r="F618" s="215"/>
      <c r="G618" s="27"/>
      <c r="H618" s="215"/>
      <c r="I618" s="27"/>
      <c r="J618" s="215"/>
      <c r="K618" s="27"/>
    </row>
    <row r="619" spans="1:11" x14ac:dyDescent="0.2">
      <c r="A619" s="223"/>
      <c r="B619" s="258"/>
      <c r="C619" s="27"/>
      <c r="D619" s="215"/>
      <c r="E619" s="27"/>
      <c r="F619" s="215"/>
      <c r="G619" s="27"/>
      <c r="H619" s="215"/>
      <c r="I619" s="27"/>
      <c r="J619" s="215"/>
      <c r="K619" s="27"/>
    </row>
    <row r="620" spans="1:11" x14ac:dyDescent="0.2">
      <c r="A620" s="223"/>
      <c r="B620" s="258"/>
      <c r="C620" s="27"/>
      <c r="D620" s="215"/>
      <c r="E620" s="27"/>
      <c r="F620" s="215"/>
      <c r="G620" s="27"/>
      <c r="H620" s="215"/>
      <c r="I620" s="27"/>
      <c r="J620" s="215"/>
      <c r="K620" s="27"/>
    </row>
    <row r="621" spans="1:11" x14ac:dyDescent="0.2">
      <c r="A621" s="223"/>
      <c r="B621" s="258"/>
      <c r="C621" s="27"/>
      <c r="D621" s="215"/>
      <c r="E621" s="27"/>
      <c r="F621" s="215"/>
      <c r="G621" s="27"/>
      <c r="H621" s="215"/>
      <c r="I621" s="27"/>
      <c r="J621" s="215"/>
      <c r="K621" s="27"/>
    </row>
    <row r="622" spans="1:11" x14ac:dyDescent="0.2">
      <c r="A622" s="223"/>
      <c r="B622" s="258"/>
      <c r="C622" s="27"/>
      <c r="D622" s="215"/>
      <c r="E622" s="27"/>
      <c r="F622" s="215"/>
      <c r="G622" s="27"/>
      <c r="H622" s="215"/>
      <c r="I622" s="27"/>
      <c r="J622" s="215"/>
      <c r="K622" s="27"/>
    </row>
    <row r="623" spans="1:11" x14ac:dyDescent="0.2">
      <c r="A623" s="223"/>
      <c r="B623" s="258"/>
      <c r="C623" s="27"/>
      <c r="D623" s="215"/>
      <c r="E623" s="27"/>
      <c r="F623" s="215"/>
      <c r="G623" s="27"/>
      <c r="H623" s="215"/>
      <c r="I623" s="27"/>
      <c r="J623" s="215"/>
      <c r="K623" s="27"/>
    </row>
    <row r="624" spans="1:11" x14ac:dyDescent="0.2">
      <c r="A624" s="223"/>
      <c r="B624" s="258"/>
      <c r="C624" s="27"/>
      <c r="D624" s="215"/>
      <c r="E624" s="27"/>
      <c r="F624" s="215"/>
      <c r="G624" s="27"/>
      <c r="H624" s="215"/>
      <c r="I624" s="27"/>
      <c r="J624" s="215"/>
      <c r="K624" s="27"/>
    </row>
    <row r="625" spans="1:11" x14ac:dyDescent="0.2">
      <c r="A625" s="223"/>
      <c r="B625" s="258"/>
      <c r="C625" s="27"/>
      <c r="D625" s="215"/>
      <c r="E625" s="27"/>
      <c r="F625" s="215"/>
      <c r="G625" s="27"/>
      <c r="H625" s="215"/>
      <c r="I625" s="27"/>
      <c r="J625" s="215"/>
      <c r="K625" s="27"/>
    </row>
    <row r="626" spans="1:11" x14ac:dyDescent="0.2">
      <c r="A626" s="223"/>
      <c r="B626" s="258"/>
      <c r="C626" s="27"/>
      <c r="D626" s="215"/>
      <c r="E626" s="27"/>
      <c r="F626" s="215"/>
      <c r="G626" s="27"/>
      <c r="H626" s="215"/>
      <c r="I626" s="27"/>
      <c r="J626" s="215"/>
      <c r="K626" s="27"/>
    </row>
    <row r="627" spans="1:11" x14ac:dyDescent="0.2">
      <c r="A627" s="223"/>
      <c r="B627" s="258"/>
      <c r="C627" s="27"/>
      <c r="D627" s="215"/>
      <c r="E627" s="27"/>
      <c r="F627" s="215"/>
      <c r="G627" s="27"/>
      <c r="H627" s="215"/>
      <c r="I627" s="27"/>
      <c r="J627" s="215"/>
      <c r="K627" s="27"/>
    </row>
    <row r="628" spans="1:11" x14ac:dyDescent="0.2">
      <c r="A628" s="223"/>
      <c r="B628" s="258"/>
      <c r="C628" s="27"/>
      <c r="D628" s="215"/>
      <c r="E628" s="27"/>
      <c r="F628" s="215"/>
      <c r="G628" s="27"/>
      <c r="H628" s="215"/>
      <c r="I628" s="27"/>
      <c r="J628" s="215"/>
      <c r="K628" s="27"/>
    </row>
    <row r="629" spans="1:11" x14ac:dyDescent="0.2">
      <c r="A629" s="223"/>
      <c r="B629" s="258"/>
      <c r="C629" s="27"/>
      <c r="D629" s="215"/>
      <c r="E629" s="27"/>
      <c r="F629" s="215"/>
      <c r="G629" s="27"/>
      <c r="H629" s="215"/>
      <c r="I629" s="27"/>
      <c r="J629" s="215"/>
      <c r="K629" s="27"/>
    </row>
    <row r="630" spans="1:11" x14ac:dyDescent="0.2">
      <c r="A630" s="223"/>
      <c r="B630" s="258"/>
      <c r="C630" s="27"/>
      <c r="D630" s="215"/>
      <c r="E630" s="27"/>
      <c r="F630" s="215"/>
      <c r="G630" s="27"/>
      <c r="H630" s="215"/>
      <c r="I630" s="27"/>
      <c r="J630" s="215"/>
      <c r="K630" s="27"/>
    </row>
    <row r="631" spans="1:11" x14ac:dyDescent="0.2">
      <c r="A631" s="223"/>
      <c r="B631" s="258"/>
      <c r="C631" s="27"/>
      <c r="D631" s="215"/>
      <c r="E631" s="27"/>
      <c r="F631" s="215"/>
      <c r="G631" s="27"/>
      <c r="H631" s="215"/>
      <c r="I631" s="27"/>
      <c r="J631" s="215"/>
      <c r="K631" s="27"/>
    </row>
    <row r="632" spans="1:11" x14ac:dyDescent="0.2">
      <c r="A632" s="223"/>
      <c r="B632" s="258"/>
      <c r="C632" s="27"/>
      <c r="D632" s="215"/>
      <c r="E632" s="27"/>
      <c r="F632" s="215"/>
      <c r="G632" s="27"/>
      <c r="H632" s="215"/>
      <c r="I632" s="27"/>
      <c r="J632" s="215"/>
      <c r="K632" s="27"/>
    </row>
    <row r="633" spans="1:11" x14ac:dyDescent="0.2">
      <c r="A633" s="223"/>
      <c r="B633" s="258"/>
      <c r="C633" s="27"/>
      <c r="D633" s="215"/>
      <c r="E633" s="27"/>
      <c r="F633" s="215"/>
      <c r="G633" s="27"/>
      <c r="H633" s="215"/>
      <c r="I633" s="27"/>
      <c r="J633" s="215"/>
      <c r="K633" s="27"/>
    </row>
    <row r="634" spans="1:11" x14ac:dyDescent="0.2">
      <c r="A634" s="223"/>
      <c r="B634" s="258"/>
      <c r="C634" s="27"/>
      <c r="D634" s="215"/>
      <c r="E634" s="27"/>
      <c r="F634" s="215"/>
      <c r="G634" s="27"/>
      <c r="H634" s="215"/>
      <c r="I634" s="27"/>
      <c r="J634" s="215"/>
      <c r="K634" s="27"/>
    </row>
    <row r="635" spans="1:11" x14ac:dyDescent="0.2">
      <c r="A635" s="223"/>
      <c r="B635" s="258"/>
      <c r="C635" s="27"/>
      <c r="D635" s="215"/>
      <c r="E635" s="27"/>
      <c r="F635" s="215"/>
      <c r="G635" s="27"/>
      <c r="H635" s="215"/>
      <c r="I635" s="27"/>
      <c r="J635" s="215"/>
      <c r="K635" s="27"/>
    </row>
    <row r="636" spans="1:11" x14ac:dyDescent="0.2">
      <c r="A636" s="223"/>
      <c r="B636" s="258"/>
      <c r="C636" s="27"/>
      <c r="D636" s="215"/>
      <c r="E636" s="27"/>
      <c r="F636" s="215"/>
      <c r="G636" s="27"/>
      <c r="H636" s="215"/>
      <c r="I636" s="27"/>
      <c r="J636" s="215"/>
      <c r="K636" s="27"/>
    </row>
    <row r="637" spans="1:11" x14ac:dyDescent="0.2">
      <c r="A637" s="223"/>
      <c r="B637" s="258"/>
      <c r="C637" s="27"/>
      <c r="D637" s="215"/>
      <c r="E637" s="27"/>
      <c r="F637" s="215"/>
      <c r="G637" s="27"/>
      <c r="H637" s="215"/>
      <c r="I637" s="27"/>
      <c r="J637" s="215"/>
      <c r="K637" s="27"/>
    </row>
    <row r="638" spans="1:11" x14ac:dyDescent="0.2">
      <c r="A638" s="223"/>
      <c r="B638" s="258"/>
      <c r="C638" s="27"/>
      <c r="D638" s="215"/>
      <c r="E638" s="27"/>
      <c r="F638" s="215"/>
      <c r="G638" s="27"/>
      <c r="H638" s="215"/>
      <c r="I638" s="27"/>
      <c r="J638" s="215"/>
      <c r="K638" s="27"/>
    </row>
    <row r="639" spans="1:11" x14ac:dyDescent="0.2">
      <c r="A639" s="223"/>
      <c r="B639" s="258"/>
      <c r="C639" s="27"/>
      <c r="D639" s="215"/>
      <c r="E639" s="27"/>
      <c r="F639" s="215"/>
      <c r="G639" s="27"/>
      <c r="H639" s="215"/>
      <c r="I639" s="27"/>
      <c r="J639" s="215"/>
      <c r="K639" s="27"/>
    </row>
    <row r="640" spans="1:11" x14ac:dyDescent="0.2">
      <c r="A640" s="223"/>
      <c r="B640" s="258"/>
      <c r="C640" s="27"/>
      <c r="D640" s="215"/>
      <c r="E640" s="27"/>
      <c r="F640" s="215"/>
      <c r="G640" s="27"/>
      <c r="H640" s="215"/>
      <c r="I640" s="27"/>
      <c r="J640" s="215"/>
      <c r="K640" s="27"/>
    </row>
    <row r="641" spans="1:11" x14ac:dyDescent="0.2">
      <c r="A641" s="223"/>
      <c r="B641" s="258"/>
      <c r="C641" s="27"/>
      <c r="D641" s="215"/>
      <c r="E641" s="27"/>
      <c r="F641" s="215"/>
      <c r="G641" s="27"/>
      <c r="H641" s="215"/>
      <c r="I641" s="27"/>
      <c r="J641" s="215"/>
      <c r="K641" s="27"/>
    </row>
    <row r="642" spans="1:11" x14ac:dyDescent="0.2">
      <c r="A642" s="223"/>
      <c r="B642" s="258"/>
      <c r="C642" s="27"/>
      <c r="D642" s="215"/>
      <c r="E642" s="27"/>
      <c r="F642" s="215"/>
      <c r="G642" s="27"/>
      <c r="H642" s="215"/>
      <c r="I642" s="27"/>
      <c r="J642" s="215"/>
      <c r="K642" s="27"/>
    </row>
    <row r="643" spans="1:11" x14ac:dyDescent="0.2">
      <c r="A643" s="223"/>
      <c r="B643" s="258"/>
      <c r="C643" s="27"/>
      <c r="D643" s="215"/>
      <c r="E643" s="27"/>
      <c r="F643" s="215"/>
      <c r="G643" s="27"/>
      <c r="H643" s="215"/>
      <c r="I643" s="27"/>
      <c r="J643" s="215"/>
      <c r="K643" s="27"/>
    </row>
    <row r="644" spans="1:11" x14ac:dyDescent="0.2">
      <c r="A644" s="223"/>
      <c r="B644" s="258"/>
      <c r="C644" s="27"/>
      <c r="D644" s="215"/>
      <c r="E644" s="27"/>
      <c r="F644" s="215"/>
      <c r="G644" s="27"/>
      <c r="H644" s="215"/>
      <c r="I644" s="27"/>
      <c r="J644" s="215"/>
      <c r="K644" s="27"/>
    </row>
    <row r="645" spans="1:11" x14ac:dyDescent="0.2">
      <c r="A645" s="223"/>
      <c r="B645" s="258"/>
      <c r="C645" s="27"/>
      <c r="D645" s="215"/>
      <c r="E645" s="27"/>
      <c r="F645" s="215"/>
      <c r="G645" s="27"/>
      <c r="H645" s="215"/>
      <c r="I645" s="27"/>
      <c r="J645" s="215"/>
      <c r="K645" s="27"/>
    </row>
    <row r="646" spans="1:11" x14ac:dyDescent="0.2">
      <c r="A646" s="223"/>
      <c r="B646" s="258"/>
      <c r="C646" s="27"/>
      <c r="D646" s="215"/>
      <c r="E646" s="27"/>
      <c r="F646" s="215"/>
      <c r="G646" s="27"/>
      <c r="H646" s="215"/>
      <c r="I646" s="27"/>
      <c r="J646" s="215"/>
      <c r="K646" s="27"/>
    </row>
    <row r="647" spans="1:11" x14ac:dyDescent="0.2">
      <c r="A647" s="223"/>
      <c r="B647" s="258"/>
      <c r="C647" s="27"/>
      <c r="D647" s="215"/>
      <c r="E647" s="27"/>
      <c r="F647" s="215"/>
      <c r="G647" s="27"/>
      <c r="H647" s="215"/>
      <c r="I647" s="27"/>
      <c r="J647" s="215"/>
      <c r="K647" s="27"/>
    </row>
    <row r="648" spans="1:11" x14ac:dyDescent="0.2">
      <c r="A648" s="223"/>
      <c r="B648" s="258"/>
      <c r="C648" s="27"/>
      <c r="D648" s="215"/>
      <c r="E648" s="27"/>
      <c r="F648" s="215"/>
      <c r="G648" s="27"/>
      <c r="H648" s="215"/>
      <c r="I648" s="27"/>
      <c r="J648" s="215"/>
      <c r="K648" s="27"/>
    </row>
    <row r="649" spans="1:11" x14ac:dyDescent="0.2">
      <c r="A649" s="223"/>
      <c r="B649" s="258"/>
      <c r="C649" s="27"/>
      <c r="D649" s="215"/>
      <c r="E649" s="27"/>
      <c r="F649" s="215"/>
      <c r="G649" s="27"/>
      <c r="H649" s="215"/>
      <c r="I649" s="27"/>
      <c r="J649" s="215"/>
      <c r="K649" s="27"/>
    </row>
    <row r="650" spans="1:11" x14ac:dyDescent="0.2">
      <c r="A650" s="223"/>
      <c r="B650" s="258"/>
      <c r="C650" s="27"/>
      <c r="D650" s="215"/>
      <c r="E650" s="27"/>
      <c r="F650" s="215"/>
      <c r="G650" s="27"/>
      <c r="H650" s="215"/>
      <c r="I650" s="27"/>
      <c r="J650" s="215"/>
      <c r="K650" s="27"/>
    </row>
    <row r="651" spans="1:11" x14ac:dyDescent="0.2">
      <c r="A651" s="223"/>
      <c r="B651" s="258"/>
      <c r="C651" s="27"/>
      <c r="D651" s="215"/>
      <c r="E651" s="27"/>
      <c r="F651" s="215"/>
      <c r="G651" s="27"/>
      <c r="H651" s="215"/>
      <c r="I651" s="27"/>
      <c r="J651" s="215"/>
      <c r="K651" s="27"/>
    </row>
    <row r="652" spans="1:11" x14ac:dyDescent="0.2">
      <c r="A652" s="223"/>
      <c r="B652" s="258"/>
      <c r="C652" s="27"/>
      <c r="D652" s="215"/>
      <c r="E652" s="27"/>
      <c r="F652" s="215"/>
      <c r="G652" s="27"/>
      <c r="H652" s="215"/>
      <c r="I652" s="27"/>
      <c r="J652" s="215"/>
      <c r="K652" s="27"/>
    </row>
    <row r="653" spans="1:11" x14ac:dyDescent="0.2">
      <c r="A653" s="223"/>
      <c r="B653" s="258"/>
      <c r="C653" s="27"/>
      <c r="D653" s="215"/>
      <c r="E653" s="27"/>
      <c r="F653" s="215"/>
      <c r="G653" s="27"/>
      <c r="H653" s="215"/>
      <c r="I653" s="27"/>
      <c r="J653" s="215"/>
      <c r="K653" s="27"/>
    </row>
    <row r="654" spans="1:11" x14ac:dyDescent="0.2">
      <c r="A654" s="223"/>
      <c r="B654" s="258"/>
      <c r="C654" s="27"/>
      <c r="D654" s="215"/>
      <c r="E654" s="27"/>
      <c r="F654" s="215"/>
      <c r="G654" s="27"/>
      <c r="H654" s="215"/>
      <c r="I654" s="27"/>
      <c r="J654" s="215"/>
      <c r="K654" s="27"/>
    </row>
    <row r="655" spans="1:11" x14ac:dyDescent="0.2">
      <c r="A655" s="223"/>
      <c r="B655" s="258"/>
      <c r="C655" s="27"/>
      <c r="D655" s="215"/>
      <c r="E655" s="27"/>
      <c r="F655" s="215"/>
      <c r="G655" s="27"/>
      <c r="H655" s="215"/>
      <c r="I655" s="27"/>
      <c r="J655" s="215"/>
      <c r="K655" s="27"/>
    </row>
    <row r="656" spans="1:11" x14ac:dyDescent="0.2">
      <c r="A656" s="223"/>
      <c r="B656" s="258"/>
      <c r="C656" s="27"/>
      <c r="D656" s="215"/>
      <c r="E656" s="27"/>
      <c r="F656" s="215"/>
      <c r="G656" s="27"/>
      <c r="H656" s="215"/>
      <c r="I656" s="27"/>
      <c r="J656" s="215"/>
      <c r="K656" s="27"/>
    </row>
    <row r="657" spans="1:11" x14ac:dyDescent="0.2">
      <c r="A657" s="223"/>
      <c r="B657" s="258"/>
      <c r="C657" s="27"/>
      <c r="D657" s="215"/>
      <c r="E657" s="27"/>
      <c r="F657" s="215"/>
      <c r="G657" s="27"/>
      <c r="H657" s="215"/>
      <c r="I657" s="27"/>
      <c r="J657" s="215"/>
      <c r="K657" s="27"/>
    </row>
    <row r="658" spans="1:11" x14ac:dyDescent="0.2">
      <c r="A658" s="223"/>
      <c r="B658" s="258"/>
      <c r="C658" s="27"/>
      <c r="D658" s="215"/>
      <c r="E658" s="27"/>
      <c r="F658" s="215"/>
      <c r="G658" s="27"/>
      <c r="H658" s="215"/>
      <c r="I658" s="27"/>
      <c r="J658" s="215"/>
      <c r="K658" s="27"/>
    </row>
    <row r="659" spans="1:11" x14ac:dyDescent="0.2">
      <c r="A659" s="223"/>
      <c r="B659" s="258"/>
      <c r="C659" s="27"/>
      <c r="D659" s="215"/>
      <c r="E659" s="27"/>
      <c r="F659" s="215"/>
      <c r="G659" s="27"/>
      <c r="H659" s="215"/>
      <c r="I659" s="27"/>
      <c r="J659" s="215"/>
      <c r="K659" s="27"/>
    </row>
    <row r="660" spans="1:11" x14ac:dyDescent="0.2">
      <c r="A660" s="223"/>
      <c r="B660" s="258"/>
      <c r="C660" s="27"/>
      <c r="D660" s="215"/>
      <c r="E660" s="27"/>
      <c r="F660" s="215"/>
      <c r="G660" s="27"/>
      <c r="H660" s="215"/>
      <c r="I660" s="27"/>
      <c r="J660" s="215"/>
      <c r="K660" s="27"/>
    </row>
    <row r="661" spans="1:11" x14ac:dyDescent="0.2">
      <c r="A661" s="223"/>
      <c r="B661" s="258"/>
      <c r="C661" s="27"/>
      <c r="D661" s="215"/>
      <c r="E661" s="27"/>
      <c r="F661" s="215"/>
      <c r="G661" s="27"/>
      <c r="H661" s="215"/>
      <c r="I661" s="27"/>
      <c r="J661" s="215"/>
      <c r="K661" s="27"/>
    </row>
    <row r="662" spans="1:11" x14ac:dyDescent="0.2">
      <c r="A662" s="223"/>
      <c r="B662" s="258"/>
      <c r="C662" s="27"/>
      <c r="D662" s="215"/>
      <c r="E662" s="27"/>
      <c r="F662" s="215"/>
      <c r="G662" s="27"/>
      <c r="H662" s="215"/>
      <c r="I662" s="27"/>
      <c r="J662" s="215"/>
      <c r="K662" s="27"/>
    </row>
    <row r="663" spans="1:11" x14ac:dyDescent="0.2">
      <c r="A663" s="223"/>
      <c r="B663" s="258"/>
      <c r="C663" s="27"/>
      <c r="D663" s="215"/>
      <c r="E663" s="27"/>
      <c r="F663" s="215"/>
      <c r="G663" s="27"/>
      <c r="H663" s="215"/>
      <c r="I663" s="27"/>
      <c r="J663" s="215"/>
      <c r="K663" s="27"/>
    </row>
    <row r="664" spans="1:11" x14ac:dyDescent="0.2">
      <c r="A664" s="223"/>
      <c r="B664" s="258"/>
      <c r="C664" s="27"/>
      <c r="D664" s="215"/>
      <c r="E664" s="27"/>
      <c r="F664" s="215"/>
      <c r="G664" s="27"/>
      <c r="H664" s="215"/>
      <c r="I664" s="27"/>
      <c r="J664" s="215"/>
      <c r="K664" s="27"/>
    </row>
    <row r="665" spans="1:11" x14ac:dyDescent="0.2">
      <c r="A665" s="223"/>
      <c r="B665" s="258"/>
      <c r="C665" s="27"/>
      <c r="D665" s="215"/>
      <c r="E665" s="27"/>
      <c r="F665" s="215"/>
      <c r="G665" s="27"/>
      <c r="H665" s="215"/>
      <c r="I665" s="27"/>
      <c r="J665" s="215"/>
      <c r="K665" s="27"/>
    </row>
    <row r="666" spans="1:11" x14ac:dyDescent="0.2">
      <c r="A666" s="223"/>
      <c r="B666" s="258"/>
      <c r="C666" s="27"/>
      <c r="D666" s="215"/>
      <c r="E666" s="27"/>
      <c r="F666" s="215"/>
      <c r="G666" s="27"/>
      <c r="H666" s="215"/>
      <c r="I666" s="27"/>
      <c r="J666" s="215"/>
      <c r="K666" s="27"/>
    </row>
    <row r="667" spans="1:11" x14ac:dyDescent="0.2">
      <c r="A667" s="223"/>
      <c r="B667" s="258"/>
      <c r="C667" s="27"/>
      <c r="D667" s="215"/>
      <c r="E667" s="27"/>
      <c r="F667" s="215"/>
      <c r="G667" s="27"/>
      <c r="H667" s="215"/>
      <c r="I667" s="27"/>
      <c r="J667" s="215"/>
      <c r="K667" s="27"/>
    </row>
    <row r="668" spans="1:11" x14ac:dyDescent="0.2">
      <c r="A668" s="223"/>
      <c r="B668" s="258"/>
      <c r="C668" s="27"/>
      <c r="D668" s="215"/>
      <c r="E668" s="27"/>
      <c r="F668" s="215"/>
      <c r="G668" s="27"/>
      <c r="H668" s="215"/>
      <c r="I668" s="27"/>
      <c r="J668" s="215"/>
      <c r="K668" s="27"/>
    </row>
    <row r="669" spans="1:11" x14ac:dyDescent="0.2">
      <c r="A669" s="223"/>
      <c r="B669" s="258"/>
      <c r="C669" s="27"/>
      <c r="D669" s="215"/>
      <c r="E669" s="27"/>
      <c r="F669" s="215"/>
      <c r="G669" s="27"/>
      <c r="H669" s="215"/>
      <c r="I669" s="27"/>
      <c r="J669" s="215"/>
      <c r="K669" s="27"/>
    </row>
    <row r="670" spans="1:11" x14ac:dyDescent="0.2">
      <c r="A670" s="223"/>
      <c r="B670" s="258"/>
      <c r="C670" s="27"/>
      <c r="D670" s="215"/>
      <c r="E670" s="27"/>
      <c r="F670" s="215"/>
      <c r="G670" s="27"/>
      <c r="H670" s="215"/>
      <c r="I670" s="27"/>
      <c r="J670" s="215"/>
      <c r="K670" s="27"/>
    </row>
    <row r="671" spans="1:11" x14ac:dyDescent="0.2">
      <c r="A671" s="223"/>
      <c r="B671" s="258"/>
      <c r="C671" s="27"/>
      <c r="D671" s="215"/>
      <c r="E671" s="27"/>
      <c r="F671" s="215"/>
      <c r="G671" s="27"/>
      <c r="H671" s="215"/>
      <c r="I671" s="27"/>
      <c r="J671" s="215"/>
      <c r="K671" s="27"/>
    </row>
    <row r="672" spans="1:11" x14ac:dyDescent="0.2">
      <c r="A672" s="223"/>
      <c r="B672" s="258"/>
      <c r="C672" s="27"/>
      <c r="D672" s="215"/>
      <c r="E672" s="27"/>
      <c r="F672" s="215"/>
      <c r="G672" s="27"/>
      <c r="H672" s="215"/>
      <c r="I672" s="27"/>
      <c r="J672" s="215"/>
      <c r="K672" s="27"/>
    </row>
    <row r="673" spans="1:11" x14ac:dyDescent="0.2">
      <c r="A673" s="223"/>
      <c r="B673" s="258"/>
      <c r="C673" s="27"/>
      <c r="D673" s="215"/>
      <c r="E673" s="27"/>
      <c r="F673" s="215"/>
      <c r="G673" s="27"/>
      <c r="H673" s="215"/>
      <c r="I673" s="27"/>
      <c r="J673" s="215"/>
      <c r="K673" s="27"/>
    </row>
    <row r="674" spans="1:11" x14ac:dyDescent="0.2">
      <c r="A674" s="223"/>
      <c r="B674" s="258"/>
      <c r="C674" s="27"/>
      <c r="D674" s="215"/>
      <c r="E674" s="27"/>
      <c r="F674" s="215"/>
      <c r="G674" s="27"/>
      <c r="H674" s="215"/>
      <c r="I674" s="27"/>
      <c r="J674" s="215"/>
      <c r="K674" s="27"/>
    </row>
    <row r="675" spans="1:11" x14ac:dyDescent="0.2">
      <c r="A675" s="223"/>
      <c r="B675" s="258"/>
      <c r="C675" s="27"/>
      <c r="D675" s="215"/>
      <c r="E675" s="27"/>
      <c r="F675" s="215"/>
      <c r="G675" s="27"/>
      <c r="H675" s="215"/>
      <c r="I675" s="27"/>
      <c r="J675" s="215"/>
      <c r="K675" s="27"/>
    </row>
    <row r="676" spans="1:11" x14ac:dyDescent="0.2">
      <c r="A676" s="223"/>
      <c r="B676" s="258"/>
      <c r="C676" s="27"/>
      <c r="D676" s="215"/>
      <c r="E676" s="27"/>
      <c r="F676" s="215"/>
      <c r="G676" s="27"/>
      <c r="H676" s="215"/>
      <c r="I676" s="27"/>
      <c r="J676" s="215"/>
      <c r="K676" s="27"/>
    </row>
    <row r="677" spans="1:11" x14ac:dyDescent="0.2">
      <c r="A677" s="223"/>
      <c r="B677" s="258"/>
      <c r="C677" s="27"/>
      <c r="D677" s="215"/>
      <c r="E677" s="27"/>
      <c r="F677" s="215"/>
      <c r="G677" s="27"/>
      <c r="H677" s="215"/>
      <c r="I677" s="27"/>
      <c r="J677" s="215"/>
      <c r="K677" s="27"/>
    </row>
    <row r="678" spans="1:11" x14ac:dyDescent="0.2">
      <c r="A678" s="223"/>
      <c r="B678" s="258"/>
      <c r="C678" s="27"/>
      <c r="D678" s="215"/>
      <c r="E678" s="27"/>
      <c r="F678" s="215"/>
      <c r="G678" s="27"/>
      <c r="H678" s="215"/>
      <c r="I678" s="27"/>
      <c r="J678" s="215"/>
      <c r="K678" s="27"/>
    </row>
    <row r="679" spans="1:11" x14ac:dyDescent="0.2">
      <c r="A679" s="223"/>
      <c r="B679" s="258"/>
      <c r="C679" s="27"/>
      <c r="D679" s="215"/>
      <c r="E679" s="27"/>
      <c r="F679" s="215"/>
      <c r="G679" s="27"/>
      <c r="H679" s="215"/>
      <c r="I679" s="27"/>
      <c r="J679" s="215"/>
      <c r="K679" s="27"/>
    </row>
    <row r="680" spans="1:11" x14ac:dyDescent="0.2">
      <c r="A680" s="223"/>
      <c r="B680" s="258"/>
      <c r="C680" s="27"/>
      <c r="D680" s="215"/>
      <c r="E680" s="27"/>
      <c r="F680" s="215"/>
      <c r="G680" s="27"/>
      <c r="H680" s="215"/>
      <c r="I680" s="27"/>
      <c r="J680" s="215"/>
      <c r="K680" s="27"/>
    </row>
    <row r="681" spans="1:11" x14ac:dyDescent="0.2">
      <c r="A681" s="223"/>
      <c r="B681" s="258"/>
      <c r="C681" s="27"/>
      <c r="D681" s="215"/>
      <c r="E681" s="27"/>
      <c r="F681" s="215"/>
      <c r="G681" s="27"/>
      <c r="H681" s="215"/>
      <c r="I681" s="27"/>
      <c r="J681" s="215"/>
      <c r="K681" s="27"/>
    </row>
    <row r="682" spans="1:11" x14ac:dyDescent="0.2">
      <c r="A682" s="223"/>
      <c r="B682" s="258"/>
      <c r="C682" s="27"/>
      <c r="D682" s="215"/>
      <c r="E682" s="27"/>
      <c r="F682" s="215"/>
      <c r="G682" s="27"/>
      <c r="H682" s="215"/>
      <c r="I682" s="27"/>
      <c r="J682" s="215"/>
      <c r="K682" s="27"/>
    </row>
    <row r="683" spans="1:11" x14ac:dyDescent="0.2">
      <c r="A683" s="223"/>
      <c r="B683" s="258"/>
      <c r="C683" s="27"/>
      <c r="D683" s="215"/>
      <c r="E683" s="27"/>
      <c r="F683" s="215"/>
      <c r="G683" s="27"/>
      <c r="H683" s="215"/>
      <c r="I683" s="27"/>
      <c r="J683" s="215"/>
      <c r="K683" s="27"/>
    </row>
    <row r="684" spans="1:11" x14ac:dyDescent="0.2">
      <c r="A684" s="223"/>
      <c r="B684" s="258"/>
      <c r="C684" s="27"/>
      <c r="D684" s="215"/>
      <c r="E684" s="27"/>
      <c r="F684" s="215"/>
      <c r="G684" s="27"/>
      <c r="H684" s="215"/>
      <c r="I684" s="27"/>
      <c r="J684" s="215"/>
      <c r="K684" s="27"/>
    </row>
    <row r="685" spans="1:11" x14ac:dyDescent="0.2">
      <c r="A685" s="223"/>
      <c r="B685" s="258"/>
      <c r="C685" s="27"/>
      <c r="D685" s="215"/>
      <c r="E685" s="27"/>
      <c r="F685" s="215"/>
      <c r="G685" s="27"/>
      <c r="H685" s="215"/>
      <c r="I685" s="27"/>
      <c r="J685" s="215"/>
      <c r="K685" s="27"/>
    </row>
    <row r="686" spans="1:11" x14ac:dyDescent="0.2">
      <c r="A686" s="223"/>
      <c r="B686" s="258"/>
      <c r="C686" s="27"/>
      <c r="D686" s="215"/>
      <c r="E686" s="27"/>
      <c r="F686" s="215"/>
      <c r="G686" s="27"/>
      <c r="H686" s="215"/>
      <c r="I686" s="27"/>
      <c r="J686" s="215"/>
      <c r="K686" s="27"/>
    </row>
    <row r="687" spans="1:11" x14ac:dyDescent="0.2">
      <c r="A687" s="223"/>
      <c r="B687" s="258"/>
      <c r="C687" s="27"/>
      <c r="D687" s="215"/>
      <c r="E687" s="27"/>
      <c r="F687" s="215"/>
      <c r="G687" s="27"/>
      <c r="H687" s="215"/>
      <c r="I687" s="27"/>
      <c r="J687" s="215"/>
      <c r="K687" s="27"/>
    </row>
    <row r="688" spans="1:11" x14ac:dyDescent="0.2">
      <c r="A688" s="223"/>
      <c r="B688" s="258"/>
      <c r="C688" s="27"/>
      <c r="D688" s="215"/>
      <c r="E688" s="27"/>
      <c r="F688" s="215"/>
      <c r="G688" s="27"/>
      <c r="H688" s="215"/>
      <c r="I688" s="27"/>
      <c r="J688" s="215"/>
      <c r="K688" s="27"/>
    </row>
    <row r="689" spans="1:11" x14ac:dyDescent="0.2">
      <c r="A689" s="223"/>
      <c r="B689" s="258"/>
      <c r="C689" s="27"/>
      <c r="D689" s="215"/>
      <c r="E689" s="27"/>
      <c r="F689" s="215"/>
      <c r="G689" s="27"/>
      <c r="H689" s="215"/>
      <c r="I689" s="27"/>
      <c r="J689" s="215"/>
      <c r="K689" s="27"/>
    </row>
    <row r="690" spans="1:11" x14ac:dyDescent="0.2">
      <c r="A690" s="223"/>
      <c r="B690" s="258"/>
      <c r="C690" s="27"/>
      <c r="D690" s="215"/>
      <c r="E690" s="27"/>
      <c r="F690" s="215"/>
      <c r="G690" s="27"/>
      <c r="H690" s="215"/>
      <c r="I690" s="27"/>
      <c r="J690" s="215"/>
      <c r="K690" s="27"/>
    </row>
    <row r="691" spans="1:11" x14ac:dyDescent="0.2">
      <c r="A691" s="223"/>
      <c r="B691" s="258"/>
      <c r="C691" s="27"/>
      <c r="D691" s="215"/>
      <c r="E691" s="27"/>
      <c r="F691" s="215"/>
      <c r="G691" s="27"/>
      <c r="H691" s="215"/>
      <c r="I691" s="27"/>
      <c r="J691" s="215"/>
      <c r="K691" s="27"/>
    </row>
    <row r="692" spans="1:11" x14ac:dyDescent="0.2">
      <c r="A692" s="223"/>
      <c r="B692" s="258"/>
      <c r="C692" s="27"/>
      <c r="D692" s="215"/>
      <c r="E692" s="27"/>
      <c r="F692" s="215"/>
      <c r="G692" s="27"/>
      <c r="H692" s="215"/>
      <c r="I692" s="27"/>
      <c r="J692" s="215"/>
      <c r="K692" s="27"/>
    </row>
    <row r="693" spans="1:11" x14ac:dyDescent="0.2">
      <c r="A693" s="223"/>
      <c r="B693" s="258"/>
      <c r="C693" s="27"/>
      <c r="D693" s="215"/>
      <c r="E693" s="27"/>
      <c r="F693" s="215"/>
      <c r="G693" s="27"/>
      <c r="H693" s="215"/>
      <c r="I693" s="27"/>
      <c r="J693" s="215"/>
      <c r="K693" s="27"/>
    </row>
    <row r="694" spans="1:11" x14ac:dyDescent="0.2">
      <c r="A694" s="223"/>
      <c r="B694" s="258"/>
      <c r="C694" s="27"/>
      <c r="D694" s="215"/>
      <c r="E694" s="27"/>
      <c r="F694" s="215"/>
      <c r="G694" s="27"/>
      <c r="H694" s="215"/>
      <c r="I694" s="27"/>
      <c r="J694" s="215"/>
      <c r="K694" s="27"/>
    </row>
    <row r="695" spans="1:11" x14ac:dyDescent="0.2">
      <c r="A695" s="223"/>
      <c r="B695" s="258"/>
      <c r="C695" s="27"/>
      <c r="D695" s="215"/>
      <c r="E695" s="27"/>
      <c r="F695" s="215"/>
      <c r="G695" s="27"/>
      <c r="H695" s="215"/>
      <c r="I695" s="27"/>
      <c r="J695" s="215"/>
      <c r="K695" s="27"/>
    </row>
    <row r="696" spans="1:11" x14ac:dyDescent="0.2">
      <c r="A696" s="223"/>
      <c r="B696" s="258"/>
      <c r="C696" s="27"/>
      <c r="D696" s="215"/>
      <c r="E696" s="27"/>
      <c r="F696" s="215"/>
      <c r="G696" s="27"/>
      <c r="H696" s="215"/>
      <c r="I696" s="27"/>
      <c r="J696" s="215"/>
      <c r="K696" s="27"/>
    </row>
    <row r="697" spans="1:11" x14ac:dyDescent="0.2">
      <c r="A697" s="223"/>
      <c r="B697" s="258"/>
      <c r="C697" s="27"/>
      <c r="D697" s="215"/>
      <c r="E697" s="27"/>
      <c r="F697" s="215"/>
      <c r="G697" s="27"/>
      <c r="H697" s="215"/>
      <c r="I697" s="27"/>
      <c r="J697" s="215"/>
      <c r="K697" s="27"/>
    </row>
    <row r="698" spans="1:11" x14ac:dyDescent="0.2">
      <c r="A698" s="223"/>
      <c r="B698" s="258"/>
      <c r="C698" s="27"/>
      <c r="D698" s="215"/>
      <c r="E698" s="27"/>
      <c r="F698" s="215"/>
      <c r="G698" s="27"/>
      <c r="H698" s="215"/>
      <c r="I698" s="27"/>
      <c r="J698" s="215"/>
      <c r="K698" s="27"/>
    </row>
    <row r="699" spans="1:11" x14ac:dyDescent="0.2">
      <c r="A699" s="223"/>
      <c r="B699" s="258"/>
      <c r="C699" s="27"/>
      <c r="D699" s="215"/>
      <c r="E699" s="27"/>
      <c r="F699" s="215"/>
      <c r="G699" s="27"/>
      <c r="H699" s="215"/>
      <c r="I699" s="27"/>
      <c r="J699" s="215"/>
      <c r="K699" s="27"/>
    </row>
    <row r="700" spans="1:11" x14ac:dyDescent="0.2">
      <c r="A700" s="223"/>
      <c r="B700" s="258"/>
      <c r="C700" s="27"/>
      <c r="D700" s="215"/>
      <c r="E700" s="27"/>
      <c r="F700" s="215"/>
      <c r="G700" s="27"/>
      <c r="H700" s="215"/>
      <c r="I700" s="27"/>
      <c r="J700" s="215"/>
      <c r="K700" s="27"/>
    </row>
    <row r="701" spans="1:11" x14ac:dyDescent="0.2">
      <c r="A701" s="223"/>
      <c r="B701" s="258"/>
      <c r="C701" s="27"/>
      <c r="D701" s="215"/>
      <c r="E701" s="27"/>
      <c r="F701" s="215"/>
      <c r="G701" s="27"/>
      <c r="H701" s="215"/>
      <c r="I701" s="27"/>
      <c r="J701" s="215"/>
      <c r="K701" s="27"/>
    </row>
    <row r="702" spans="1:11" x14ac:dyDescent="0.2">
      <c r="A702" s="223"/>
      <c r="B702" s="258"/>
      <c r="C702" s="27"/>
      <c r="D702" s="215"/>
      <c r="E702" s="27"/>
      <c r="F702" s="215"/>
      <c r="G702" s="27"/>
      <c r="H702" s="215"/>
      <c r="I702" s="27"/>
      <c r="J702" s="215"/>
      <c r="K702" s="27"/>
    </row>
    <row r="703" spans="1:11" x14ac:dyDescent="0.2">
      <c r="A703" s="223"/>
      <c r="B703" s="258"/>
      <c r="C703" s="27"/>
      <c r="D703" s="215"/>
      <c r="E703" s="27"/>
      <c r="F703" s="215"/>
      <c r="G703" s="27"/>
      <c r="H703" s="215"/>
      <c r="I703" s="27"/>
      <c r="J703" s="215"/>
      <c r="K703" s="27"/>
    </row>
    <row r="704" spans="1:11" x14ac:dyDescent="0.2">
      <c r="A704" s="223"/>
      <c r="B704" s="258"/>
      <c r="C704" s="27"/>
      <c r="D704" s="215"/>
      <c r="E704" s="27"/>
      <c r="F704" s="215"/>
      <c r="G704" s="27"/>
      <c r="H704" s="215"/>
      <c r="I704" s="27"/>
      <c r="J704" s="215"/>
      <c r="K704" s="27"/>
    </row>
    <row r="705" spans="1:11" x14ac:dyDescent="0.2">
      <c r="A705" s="223"/>
      <c r="B705" s="258"/>
      <c r="C705" s="27"/>
      <c r="D705" s="215"/>
      <c r="E705" s="27"/>
      <c r="F705" s="215"/>
      <c r="G705" s="27"/>
      <c r="H705" s="215"/>
      <c r="I705" s="27"/>
      <c r="J705" s="215"/>
      <c r="K705" s="27"/>
    </row>
    <row r="706" spans="1:11" x14ac:dyDescent="0.2">
      <c r="A706" s="223"/>
      <c r="B706" s="258"/>
      <c r="C706" s="27"/>
      <c r="D706" s="215"/>
      <c r="E706" s="27"/>
      <c r="F706" s="215"/>
      <c r="G706" s="27"/>
      <c r="H706" s="215"/>
      <c r="I706" s="27"/>
      <c r="J706" s="215"/>
      <c r="K706" s="27"/>
    </row>
    <row r="707" spans="1:11" x14ac:dyDescent="0.2">
      <c r="A707" s="223"/>
      <c r="B707" s="258"/>
      <c r="C707" s="27"/>
      <c r="D707" s="215"/>
      <c r="E707" s="27"/>
      <c r="F707" s="215"/>
      <c r="G707" s="27"/>
      <c r="H707" s="215"/>
      <c r="I707" s="27"/>
      <c r="J707" s="215"/>
      <c r="K707" s="27"/>
    </row>
    <row r="708" spans="1:11" x14ac:dyDescent="0.2">
      <c r="A708" s="223"/>
      <c r="B708" s="258"/>
      <c r="C708" s="27"/>
      <c r="D708" s="215"/>
      <c r="E708" s="27"/>
      <c r="F708" s="215"/>
      <c r="G708" s="27"/>
      <c r="H708" s="215"/>
      <c r="I708" s="27"/>
      <c r="J708" s="215"/>
      <c r="K708" s="27"/>
    </row>
    <row r="709" spans="1:11" x14ac:dyDescent="0.2">
      <c r="A709" s="223"/>
      <c r="B709" s="258"/>
      <c r="C709" s="27"/>
      <c r="D709" s="215"/>
      <c r="E709" s="27"/>
      <c r="F709" s="215"/>
      <c r="G709" s="27"/>
      <c r="H709" s="215"/>
      <c r="I709" s="27"/>
      <c r="J709" s="215"/>
      <c r="K709" s="27"/>
    </row>
    <row r="710" spans="1:11" x14ac:dyDescent="0.2">
      <c r="A710" s="223"/>
      <c r="B710" s="258"/>
      <c r="C710" s="27"/>
      <c r="D710" s="215"/>
      <c r="E710" s="27"/>
      <c r="F710" s="215"/>
      <c r="G710" s="27"/>
      <c r="H710" s="215"/>
      <c r="I710" s="27"/>
      <c r="J710" s="215"/>
      <c r="K710" s="27"/>
    </row>
    <row r="711" spans="1:11" x14ac:dyDescent="0.2">
      <c r="A711" s="223"/>
      <c r="B711" s="258"/>
      <c r="C711" s="27"/>
      <c r="D711" s="215"/>
      <c r="E711" s="27"/>
      <c r="F711" s="215"/>
      <c r="G711" s="27"/>
      <c r="H711" s="215"/>
      <c r="I711" s="27"/>
      <c r="J711" s="215"/>
      <c r="K711" s="27"/>
    </row>
    <row r="712" spans="1:11" x14ac:dyDescent="0.2">
      <c r="A712" s="223"/>
      <c r="B712" s="258"/>
      <c r="C712" s="27"/>
      <c r="D712" s="215"/>
      <c r="E712" s="27"/>
      <c r="F712" s="215"/>
      <c r="G712" s="27"/>
      <c r="H712" s="215"/>
      <c r="I712" s="27"/>
      <c r="J712" s="215"/>
      <c r="K712" s="27"/>
    </row>
    <row r="713" spans="1:11" x14ac:dyDescent="0.2">
      <c r="A713" s="223"/>
      <c r="B713" s="258"/>
      <c r="C713" s="27"/>
      <c r="D713" s="215"/>
      <c r="E713" s="27"/>
      <c r="F713" s="215"/>
      <c r="G713" s="27"/>
      <c r="H713" s="215"/>
      <c r="I713" s="27"/>
      <c r="J713" s="215"/>
      <c r="K713" s="27"/>
    </row>
    <row r="714" spans="1:11" x14ac:dyDescent="0.2">
      <c r="A714" s="223"/>
      <c r="B714" s="258"/>
      <c r="C714" s="27"/>
      <c r="D714" s="215"/>
      <c r="E714" s="27"/>
      <c r="F714" s="215"/>
      <c r="G714" s="27"/>
      <c r="H714" s="215"/>
      <c r="I714" s="27"/>
      <c r="J714" s="215"/>
      <c r="K714" s="27"/>
    </row>
    <row r="715" spans="1:11" x14ac:dyDescent="0.2">
      <c r="A715" s="223"/>
      <c r="B715" s="258"/>
      <c r="C715" s="27"/>
      <c r="D715" s="215"/>
      <c r="E715" s="27"/>
      <c r="F715" s="215"/>
      <c r="G715" s="27"/>
      <c r="H715" s="215"/>
      <c r="I715" s="27"/>
      <c r="J715" s="215"/>
      <c r="K715" s="27"/>
    </row>
    <row r="716" spans="1:11" x14ac:dyDescent="0.2">
      <c r="A716" s="223"/>
      <c r="B716" s="258"/>
      <c r="C716" s="27"/>
      <c r="D716" s="215"/>
      <c r="E716" s="27"/>
      <c r="F716" s="215"/>
      <c r="G716" s="27"/>
      <c r="H716" s="215"/>
      <c r="I716" s="27"/>
      <c r="J716" s="215"/>
      <c r="K716" s="27"/>
    </row>
    <row r="717" spans="1:11" x14ac:dyDescent="0.2">
      <c r="A717" s="223"/>
      <c r="B717" s="258"/>
      <c r="C717" s="27"/>
      <c r="D717" s="215"/>
      <c r="E717" s="27"/>
      <c r="F717" s="215"/>
      <c r="G717" s="27"/>
      <c r="H717" s="215"/>
      <c r="I717" s="27"/>
      <c r="J717" s="215"/>
      <c r="K717" s="27"/>
    </row>
    <row r="718" spans="1:11" x14ac:dyDescent="0.2">
      <c r="A718" s="223"/>
      <c r="B718" s="258"/>
      <c r="C718" s="27"/>
      <c r="D718" s="215"/>
      <c r="E718" s="27"/>
      <c r="F718" s="215"/>
      <c r="G718" s="27"/>
      <c r="H718" s="215"/>
      <c r="I718" s="27"/>
      <c r="J718" s="215"/>
      <c r="K718" s="27"/>
    </row>
    <row r="719" spans="1:11" x14ac:dyDescent="0.2">
      <c r="A719" s="223"/>
      <c r="B719" s="258"/>
      <c r="C719" s="27"/>
      <c r="D719" s="215"/>
      <c r="E719" s="27"/>
      <c r="F719" s="215"/>
      <c r="G719" s="27"/>
      <c r="H719" s="215"/>
      <c r="I719" s="27"/>
      <c r="J719" s="215"/>
      <c r="K719" s="27"/>
    </row>
    <row r="720" spans="1:11" x14ac:dyDescent="0.2">
      <c r="A720" s="223"/>
      <c r="B720" s="258"/>
      <c r="C720" s="27"/>
      <c r="D720" s="215"/>
      <c r="E720" s="27"/>
      <c r="F720" s="215"/>
      <c r="G720" s="27"/>
      <c r="H720" s="215"/>
      <c r="I720" s="27"/>
      <c r="J720" s="215"/>
      <c r="K720" s="27"/>
    </row>
    <row r="721" spans="1:11" x14ac:dyDescent="0.2">
      <c r="A721" s="223"/>
      <c r="B721" s="258"/>
      <c r="C721" s="27"/>
      <c r="D721" s="215"/>
      <c r="E721" s="27"/>
      <c r="F721" s="215"/>
      <c r="G721" s="27"/>
      <c r="H721" s="215"/>
      <c r="I721" s="27"/>
      <c r="J721" s="215"/>
      <c r="K721" s="27"/>
    </row>
    <row r="722" spans="1:11" x14ac:dyDescent="0.2">
      <c r="A722" s="223"/>
      <c r="B722" s="258"/>
      <c r="C722" s="27"/>
      <c r="D722" s="215"/>
      <c r="E722" s="27"/>
      <c r="F722" s="215"/>
      <c r="G722" s="27"/>
      <c r="H722" s="215"/>
      <c r="I722" s="27"/>
      <c r="J722" s="215"/>
      <c r="K722" s="27"/>
    </row>
    <row r="723" spans="1:11" x14ac:dyDescent="0.2">
      <c r="A723" s="223"/>
      <c r="B723" s="258"/>
      <c r="C723" s="27"/>
      <c r="D723" s="215"/>
      <c r="E723" s="27"/>
      <c r="F723" s="215"/>
      <c r="G723" s="27"/>
      <c r="H723" s="215"/>
      <c r="I723" s="27"/>
      <c r="J723" s="215"/>
      <c r="K723" s="27"/>
    </row>
    <row r="724" spans="1:11" x14ac:dyDescent="0.2">
      <c r="A724" s="223"/>
      <c r="B724" s="258"/>
      <c r="C724" s="27"/>
      <c r="D724" s="215"/>
      <c r="E724" s="27"/>
      <c r="F724" s="215"/>
      <c r="G724" s="27"/>
      <c r="H724" s="215"/>
      <c r="I724" s="27"/>
      <c r="J724" s="215"/>
      <c r="K724" s="27"/>
    </row>
    <row r="725" spans="1:11" x14ac:dyDescent="0.2">
      <c r="A725" s="223"/>
      <c r="B725" s="258"/>
      <c r="C725" s="27"/>
      <c r="D725" s="215"/>
      <c r="E725" s="27"/>
      <c r="F725" s="215"/>
      <c r="G725" s="27"/>
      <c r="H725" s="215"/>
      <c r="I725" s="27"/>
      <c r="J725" s="215"/>
      <c r="K725" s="27"/>
    </row>
    <row r="726" spans="1:11" x14ac:dyDescent="0.2">
      <c r="A726" s="223"/>
      <c r="B726" s="258"/>
      <c r="C726" s="27"/>
      <c r="D726" s="215"/>
      <c r="E726" s="27"/>
      <c r="F726" s="215"/>
      <c r="G726" s="27"/>
      <c r="H726" s="215"/>
      <c r="I726" s="27"/>
      <c r="J726" s="215"/>
      <c r="K726" s="27"/>
    </row>
    <row r="727" spans="1:11" x14ac:dyDescent="0.2">
      <c r="A727" s="223"/>
      <c r="B727" s="258"/>
      <c r="C727" s="27"/>
      <c r="D727" s="215"/>
      <c r="E727" s="27"/>
      <c r="F727" s="215"/>
      <c r="G727" s="27"/>
      <c r="H727" s="215"/>
      <c r="I727" s="27"/>
      <c r="J727" s="215"/>
      <c r="K727" s="27"/>
    </row>
    <row r="728" spans="1:11" x14ac:dyDescent="0.2">
      <c r="A728" s="223"/>
      <c r="B728" s="258"/>
      <c r="C728" s="27"/>
      <c r="D728" s="215"/>
      <c r="E728" s="27"/>
      <c r="F728" s="215"/>
      <c r="G728" s="27"/>
      <c r="H728" s="215"/>
      <c r="I728" s="27"/>
      <c r="J728" s="215"/>
      <c r="K728" s="27"/>
    </row>
    <row r="729" spans="1:11" x14ac:dyDescent="0.2">
      <c r="A729" s="223"/>
      <c r="B729" s="258"/>
      <c r="C729" s="27"/>
      <c r="D729" s="215"/>
      <c r="E729" s="27"/>
      <c r="F729" s="215"/>
      <c r="G729" s="27"/>
      <c r="H729" s="215"/>
      <c r="I729" s="27"/>
      <c r="J729" s="215"/>
      <c r="K729" s="27"/>
    </row>
    <row r="730" spans="1:11" x14ac:dyDescent="0.2">
      <c r="A730" s="223"/>
      <c r="B730" s="258"/>
      <c r="C730" s="27"/>
      <c r="D730" s="215"/>
      <c r="E730" s="27"/>
      <c r="F730" s="215"/>
      <c r="G730" s="27"/>
      <c r="H730" s="215"/>
      <c r="I730" s="27"/>
      <c r="J730" s="215"/>
      <c r="K730" s="27"/>
    </row>
    <row r="731" spans="1:11" x14ac:dyDescent="0.2">
      <c r="A731" s="223"/>
      <c r="B731" s="258"/>
      <c r="C731" s="27"/>
      <c r="D731" s="215"/>
      <c r="E731" s="27"/>
      <c r="F731" s="215"/>
      <c r="G731" s="27"/>
      <c r="H731" s="215"/>
      <c r="I731" s="27"/>
      <c r="J731" s="215"/>
      <c r="K731" s="27"/>
    </row>
    <row r="732" spans="1:11" x14ac:dyDescent="0.2">
      <c r="A732" s="223"/>
      <c r="B732" s="258"/>
      <c r="C732" s="27"/>
      <c r="D732" s="215"/>
      <c r="E732" s="27"/>
      <c r="F732" s="215"/>
      <c r="G732" s="27"/>
      <c r="H732" s="215"/>
      <c r="I732" s="27"/>
      <c r="J732" s="215"/>
      <c r="K732" s="27"/>
    </row>
    <row r="733" spans="1:11" x14ac:dyDescent="0.2">
      <c r="A733" s="223"/>
      <c r="B733" s="258"/>
      <c r="C733" s="27"/>
      <c r="D733" s="215"/>
      <c r="E733" s="27"/>
      <c r="F733" s="215"/>
      <c r="G733" s="27"/>
      <c r="H733" s="215"/>
      <c r="I733" s="27"/>
      <c r="J733" s="215"/>
      <c r="K733" s="27"/>
    </row>
    <row r="734" spans="1:11" x14ac:dyDescent="0.2">
      <c r="A734" s="223"/>
      <c r="B734" s="258"/>
      <c r="C734" s="27"/>
      <c r="D734" s="215"/>
      <c r="E734" s="27"/>
      <c r="F734" s="215"/>
      <c r="G734" s="27"/>
      <c r="H734" s="215"/>
      <c r="I734" s="27"/>
      <c r="J734" s="215"/>
      <c r="K734" s="27"/>
    </row>
    <row r="735" spans="1:11" x14ac:dyDescent="0.2">
      <c r="A735" s="223"/>
      <c r="B735" s="258"/>
      <c r="C735" s="27"/>
      <c r="D735" s="215"/>
      <c r="E735" s="27"/>
      <c r="F735" s="215"/>
      <c r="G735" s="27"/>
      <c r="H735" s="215"/>
      <c r="I735" s="27"/>
      <c r="J735" s="215"/>
      <c r="K735" s="27"/>
    </row>
    <row r="736" spans="1:11" x14ac:dyDescent="0.2">
      <c r="A736" s="223"/>
      <c r="B736" s="258"/>
      <c r="C736" s="27"/>
      <c r="D736" s="215"/>
      <c r="E736" s="27"/>
      <c r="F736" s="215"/>
      <c r="G736" s="27"/>
      <c r="H736" s="215"/>
      <c r="I736" s="27"/>
      <c r="J736" s="215"/>
      <c r="K736" s="27"/>
    </row>
    <row r="737" spans="1:11" x14ac:dyDescent="0.2">
      <c r="A737" s="223"/>
      <c r="B737" s="258"/>
      <c r="C737" s="27"/>
      <c r="D737" s="215"/>
      <c r="E737" s="27"/>
      <c r="F737" s="215"/>
      <c r="G737" s="27"/>
      <c r="H737" s="215"/>
      <c r="I737" s="27"/>
      <c r="J737" s="215"/>
      <c r="K737" s="27"/>
    </row>
    <row r="738" spans="1:11" x14ac:dyDescent="0.2">
      <c r="A738" s="223"/>
      <c r="B738" s="258"/>
      <c r="C738" s="27"/>
      <c r="D738" s="215"/>
      <c r="E738" s="27"/>
      <c r="F738" s="215"/>
      <c r="G738" s="27"/>
      <c r="H738" s="215"/>
      <c r="I738" s="27"/>
      <c r="J738" s="215"/>
      <c r="K738" s="27"/>
    </row>
    <row r="739" spans="1:11" x14ac:dyDescent="0.2">
      <c r="A739" s="223"/>
      <c r="B739" s="258"/>
      <c r="C739" s="27"/>
      <c r="D739" s="215"/>
      <c r="E739" s="27"/>
      <c r="F739" s="215"/>
      <c r="G739" s="27"/>
      <c r="H739" s="215"/>
      <c r="I739" s="27"/>
      <c r="J739" s="215"/>
      <c r="K739" s="27"/>
    </row>
    <row r="740" spans="1:11" x14ac:dyDescent="0.2">
      <c r="A740" s="223"/>
      <c r="B740" s="258"/>
      <c r="C740" s="27"/>
      <c r="D740" s="215"/>
      <c r="E740" s="27"/>
      <c r="F740" s="215"/>
      <c r="G740" s="27"/>
      <c r="H740" s="215"/>
      <c r="I740" s="27"/>
      <c r="J740" s="215"/>
      <c r="K740" s="27"/>
    </row>
    <row r="741" spans="1:11" x14ac:dyDescent="0.2">
      <c r="A741" s="223"/>
      <c r="B741" s="258"/>
      <c r="C741" s="27"/>
      <c r="D741" s="215"/>
      <c r="E741" s="27"/>
      <c r="F741" s="215"/>
      <c r="G741" s="27"/>
      <c r="H741" s="215"/>
      <c r="I741" s="27"/>
      <c r="J741" s="215"/>
      <c r="K741" s="27"/>
    </row>
    <row r="742" spans="1:11" x14ac:dyDescent="0.2">
      <c r="A742" s="223"/>
      <c r="B742" s="258"/>
      <c r="C742" s="27"/>
      <c r="D742" s="215"/>
      <c r="E742" s="27"/>
      <c r="F742" s="215"/>
      <c r="G742" s="27"/>
      <c r="H742" s="215"/>
      <c r="I742" s="27"/>
      <c r="J742" s="215"/>
      <c r="K742" s="27"/>
    </row>
    <row r="743" spans="1:11" x14ac:dyDescent="0.2">
      <c r="A743" s="223"/>
      <c r="B743" s="258"/>
      <c r="C743" s="27"/>
      <c r="D743" s="215"/>
      <c r="E743" s="27"/>
      <c r="F743" s="215"/>
      <c r="G743" s="27"/>
      <c r="H743" s="215"/>
      <c r="I743" s="27"/>
      <c r="J743" s="215"/>
      <c r="K743" s="27"/>
    </row>
    <row r="744" spans="1:11" x14ac:dyDescent="0.2">
      <c r="A744" s="223"/>
      <c r="B744" s="258"/>
      <c r="C744" s="27"/>
      <c r="D744" s="215"/>
      <c r="E744" s="27"/>
      <c r="F744" s="215"/>
      <c r="G744" s="27"/>
      <c r="H744" s="215"/>
      <c r="I744" s="27"/>
      <c r="J744" s="215"/>
      <c r="K744" s="27"/>
    </row>
    <row r="745" spans="1:11" x14ac:dyDescent="0.2">
      <c r="A745" s="223"/>
      <c r="B745" s="258"/>
      <c r="C745" s="27"/>
      <c r="D745" s="215"/>
      <c r="E745" s="27"/>
      <c r="F745" s="215"/>
      <c r="G745" s="27"/>
      <c r="H745" s="215"/>
      <c r="I745" s="27"/>
      <c r="J745" s="215"/>
      <c r="K745" s="27"/>
    </row>
    <row r="746" spans="1:11" x14ac:dyDescent="0.2">
      <c r="A746" s="223"/>
      <c r="B746" s="258"/>
      <c r="C746" s="27"/>
      <c r="D746" s="215"/>
      <c r="E746" s="27"/>
      <c r="F746" s="215"/>
      <c r="G746" s="27"/>
      <c r="H746" s="215"/>
      <c r="I746" s="27"/>
      <c r="J746" s="215"/>
      <c r="K746" s="27"/>
    </row>
    <row r="747" spans="1:11" x14ac:dyDescent="0.2">
      <c r="A747" s="223"/>
      <c r="B747" s="258"/>
      <c r="C747" s="27"/>
      <c r="D747" s="215"/>
      <c r="E747" s="27"/>
      <c r="F747" s="215"/>
      <c r="G747" s="27"/>
      <c r="H747" s="215"/>
      <c r="I747" s="27"/>
      <c r="J747" s="215"/>
      <c r="K747" s="27"/>
    </row>
    <row r="748" spans="1:11" x14ac:dyDescent="0.2">
      <c r="A748" s="223"/>
      <c r="B748" s="258"/>
      <c r="C748" s="27"/>
      <c r="D748" s="215"/>
      <c r="E748" s="27"/>
      <c r="F748" s="215"/>
      <c r="G748" s="27"/>
      <c r="H748" s="215"/>
      <c r="I748" s="27"/>
      <c r="J748" s="215"/>
      <c r="K748" s="27"/>
    </row>
    <row r="749" spans="1:11" x14ac:dyDescent="0.2">
      <c r="A749" s="223"/>
      <c r="B749" s="258"/>
      <c r="C749" s="27"/>
      <c r="D749" s="215"/>
      <c r="E749" s="27"/>
      <c r="F749" s="215"/>
      <c r="G749" s="27"/>
      <c r="H749" s="215"/>
      <c r="I749" s="27"/>
      <c r="J749" s="215"/>
      <c r="K749" s="27"/>
    </row>
    <row r="750" spans="1:11" x14ac:dyDescent="0.2">
      <c r="A750" s="223"/>
      <c r="B750" s="258"/>
      <c r="C750" s="27"/>
      <c r="D750" s="215"/>
      <c r="E750" s="27"/>
      <c r="F750" s="215"/>
      <c r="G750" s="27"/>
      <c r="H750" s="215"/>
      <c r="I750" s="27"/>
      <c r="J750" s="215"/>
      <c r="K750" s="27"/>
    </row>
    <row r="751" spans="1:11" x14ac:dyDescent="0.2">
      <c r="A751" s="223"/>
      <c r="B751" s="258"/>
      <c r="C751" s="27"/>
      <c r="D751" s="215"/>
      <c r="E751" s="27"/>
      <c r="F751" s="215"/>
      <c r="G751" s="27"/>
      <c r="H751" s="215"/>
      <c r="I751" s="27"/>
      <c r="J751" s="215"/>
      <c r="K751" s="27"/>
    </row>
    <row r="752" spans="1:11" x14ac:dyDescent="0.2">
      <c r="A752" s="223"/>
      <c r="B752" s="258"/>
      <c r="C752" s="27"/>
      <c r="D752" s="215"/>
      <c r="E752" s="27"/>
      <c r="F752" s="215"/>
      <c r="G752" s="27"/>
      <c r="H752" s="215"/>
      <c r="I752" s="27"/>
      <c r="J752" s="215"/>
      <c r="K752" s="27"/>
    </row>
    <row r="753" spans="1:11" x14ac:dyDescent="0.2">
      <c r="A753" s="223"/>
      <c r="B753" s="258"/>
      <c r="C753" s="27"/>
      <c r="D753" s="215"/>
      <c r="E753" s="27"/>
      <c r="F753" s="215"/>
      <c r="G753" s="27"/>
      <c r="H753" s="215"/>
      <c r="I753" s="27"/>
      <c r="J753" s="215"/>
      <c r="K753" s="27"/>
    </row>
    <row r="754" spans="1:11" x14ac:dyDescent="0.2">
      <c r="A754" s="223"/>
      <c r="B754" s="258"/>
      <c r="C754" s="27"/>
      <c r="D754" s="215"/>
      <c r="E754" s="27"/>
      <c r="F754" s="215"/>
      <c r="G754" s="27"/>
      <c r="H754" s="215"/>
      <c r="I754" s="27"/>
      <c r="J754" s="215"/>
      <c r="K754" s="27"/>
    </row>
    <row r="755" spans="1:11" x14ac:dyDescent="0.2">
      <c r="A755" s="223"/>
      <c r="B755" s="258"/>
      <c r="C755" s="27"/>
      <c r="D755" s="215"/>
      <c r="E755" s="27"/>
      <c r="F755" s="215"/>
      <c r="G755" s="27"/>
      <c r="H755" s="215"/>
      <c r="I755" s="27"/>
      <c r="J755" s="215"/>
      <c r="K755" s="27"/>
    </row>
    <row r="756" spans="1:11" x14ac:dyDescent="0.2">
      <c r="A756" s="223"/>
      <c r="B756" s="258"/>
      <c r="C756" s="27"/>
      <c r="D756" s="215"/>
      <c r="E756" s="27"/>
      <c r="F756" s="215"/>
      <c r="G756" s="27"/>
      <c r="H756" s="215"/>
      <c r="I756" s="27"/>
      <c r="J756" s="215"/>
      <c r="K756" s="27"/>
    </row>
    <row r="757" spans="1:11" x14ac:dyDescent="0.2">
      <c r="A757" s="223"/>
      <c r="B757" s="258"/>
      <c r="C757" s="27"/>
      <c r="D757" s="215"/>
      <c r="E757" s="27"/>
      <c r="F757" s="215"/>
      <c r="G757" s="27"/>
      <c r="H757" s="215"/>
      <c r="I757" s="27"/>
      <c r="J757" s="215"/>
      <c r="K757" s="27"/>
    </row>
    <row r="758" spans="1:11" x14ac:dyDescent="0.2">
      <c r="A758" s="223"/>
      <c r="B758" s="258"/>
      <c r="C758" s="27"/>
      <c r="D758" s="215"/>
      <c r="E758" s="27"/>
      <c r="F758" s="215"/>
      <c r="G758" s="27"/>
      <c r="H758" s="215"/>
      <c r="I758" s="27"/>
      <c r="J758" s="215"/>
      <c r="K758" s="27"/>
    </row>
    <row r="759" spans="1:11" x14ac:dyDescent="0.2">
      <c r="A759" s="223"/>
      <c r="B759" s="258"/>
      <c r="C759" s="27"/>
      <c r="D759" s="215"/>
      <c r="E759" s="27"/>
      <c r="F759" s="215"/>
      <c r="G759" s="27"/>
      <c r="H759" s="215"/>
      <c r="I759" s="27"/>
      <c r="J759" s="215"/>
      <c r="K759" s="27"/>
    </row>
    <row r="760" spans="1:11" x14ac:dyDescent="0.2">
      <c r="A760" s="223"/>
      <c r="B760" s="258"/>
      <c r="C760" s="27"/>
      <c r="D760" s="215"/>
      <c r="E760" s="27"/>
      <c r="F760" s="215"/>
      <c r="G760" s="27"/>
      <c r="H760" s="215"/>
      <c r="I760" s="27"/>
      <c r="J760" s="215"/>
      <c r="K760" s="27"/>
    </row>
    <row r="761" spans="1:11" x14ac:dyDescent="0.2">
      <c r="A761" s="223"/>
      <c r="B761" s="258"/>
      <c r="C761" s="27"/>
      <c r="D761" s="215"/>
      <c r="E761" s="27"/>
      <c r="F761" s="215"/>
      <c r="G761" s="27"/>
      <c r="H761" s="215"/>
      <c r="I761" s="27"/>
      <c r="J761" s="215"/>
      <c r="K761" s="27"/>
    </row>
    <row r="762" spans="1:11" x14ac:dyDescent="0.2">
      <c r="A762" s="46"/>
      <c r="B762" s="258"/>
      <c r="C762" s="27"/>
      <c r="D762" s="14"/>
      <c r="E762" s="27"/>
      <c r="F762" s="14"/>
      <c r="G762" s="27"/>
      <c r="H762" s="14"/>
      <c r="I762" s="27"/>
      <c r="J762" s="14"/>
      <c r="K762" s="27"/>
    </row>
    <row r="763" spans="1:11" x14ac:dyDescent="0.2">
      <c r="A763" s="46"/>
      <c r="B763" s="258"/>
      <c r="C763" s="27"/>
      <c r="D763" s="14"/>
      <c r="E763" s="27"/>
      <c r="F763" s="14"/>
      <c r="G763" s="27"/>
      <c r="H763" s="14"/>
      <c r="I763" s="27"/>
      <c r="J763" s="14"/>
      <c r="K763" s="27"/>
    </row>
    <row r="764" spans="1:11" x14ac:dyDescent="0.2">
      <c r="A764" s="46"/>
      <c r="B764" s="258"/>
      <c r="C764" s="27"/>
      <c r="D764" s="14"/>
      <c r="E764" s="27"/>
      <c r="F764" s="14"/>
      <c r="G764" s="27"/>
      <c r="H764" s="14"/>
      <c r="I764" s="27"/>
      <c r="J764" s="14"/>
      <c r="K764" s="27"/>
    </row>
    <row r="765" spans="1:11" x14ac:dyDescent="0.2">
      <c r="A765" s="46"/>
      <c r="B765" s="258"/>
    </row>
    <row r="766" spans="1:11" x14ac:dyDescent="0.2">
      <c r="B766" s="258"/>
    </row>
    <row r="767" spans="1:11" x14ac:dyDescent="0.2">
      <c r="B767" s="258"/>
    </row>
    <row r="768" spans="1:11" x14ac:dyDescent="0.2">
      <c r="B768" s="258"/>
    </row>
    <row r="769" spans="2:2" x14ac:dyDescent="0.2">
      <c r="B769" s="258"/>
    </row>
    <row r="770" spans="2:2" x14ac:dyDescent="0.2">
      <c r="B770" s="258"/>
    </row>
    <row r="771" spans="2:2" x14ac:dyDescent="0.2">
      <c r="B771" s="258"/>
    </row>
    <row r="772" spans="2:2" x14ac:dyDescent="0.2">
      <c r="B772" s="258"/>
    </row>
    <row r="773" spans="2:2" x14ac:dyDescent="0.2">
      <c r="B773" s="258"/>
    </row>
    <row r="774" spans="2:2" x14ac:dyDescent="0.2">
      <c r="B774" s="258"/>
    </row>
  </sheetData>
  <mergeCells count="15">
    <mergeCell ref="T19:U19"/>
    <mergeCell ref="H19:I19"/>
    <mergeCell ref="J19:K19"/>
    <mergeCell ref="L19:M19"/>
    <mergeCell ref="F19:G19"/>
    <mergeCell ref="B3:D3"/>
    <mergeCell ref="B19:C19"/>
    <mergeCell ref="N19:O19"/>
    <mergeCell ref="P19:Q19"/>
    <mergeCell ref="R19:S19"/>
    <mergeCell ref="N3:N4"/>
    <mergeCell ref="N5:N6"/>
    <mergeCell ref="N7:N8"/>
    <mergeCell ref="K6:K9"/>
    <mergeCell ref="L6:M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BC85E-243C-4E7C-96DA-A8E270ED1D7E}">
  <dimension ref="A1:S73"/>
  <sheetViews>
    <sheetView showGridLines="0" topLeftCell="A56" zoomScale="118" zoomScaleNormal="100" workbookViewId="0">
      <selection activeCell="H71" sqref="H71"/>
    </sheetView>
  </sheetViews>
  <sheetFormatPr defaultColWidth="8.7109375" defaultRowHeight="12.75" x14ac:dyDescent="0.2"/>
  <cols>
    <col min="1" max="1" width="32.85546875" style="1" bestFit="1" customWidth="1"/>
    <col min="2" max="2" width="14.7109375" style="1" bestFit="1" customWidth="1"/>
    <col min="3" max="3" width="11.5703125" style="1" bestFit="1" customWidth="1"/>
    <col min="4" max="4" width="11.7109375" style="1" bestFit="1" customWidth="1"/>
    <col min="5" max="5" width="11.7109375" style="1" customWidth="1"/>
    <col min="6" max="6" width="13.85546875" style="1" customWidth="1"/>
    <col min="7" max="7" width="16.85546875" style="1" bestFit="1" customWidth="1"/>
    <col min="8" max="8" width="8.7109375" style="1"/>
    <col min="9" max="9" width="15.5703125" style="214" customWidth="1"/>
    <col min="10" max="10" width="19.85546875" style="214" bestFit="1" customWidth="1"/>
    <col min="11" max="12" width="8.7109375" style="1"/>
    <col min="13" max="13" width="11" style="1" bestFit="1" customWidth="1"/>
    <col min="14" max="18" width="11.7109375" style="1" bestFit="1" customWidth="1"/>
    <col min="19" max="16384" width="8.7109375" style="1"/>
  </cols>
  <sheetData>
    <row r="1" spans="1:17" x14ac:dyDescent="0.2">
      <c r="A1" s="52" t="s">
        <v>243</v>
      </c>
    </row>
    <row r="2" spans="1:17" x14ac:dyDescent="0.2">
      <c r="A2" s="41" t="str">
        <f>'PepsiCo-IS'!A2</f>
        <v>(in USD million except per Share Data)</v>
      </c>
    </row>
    <row r="3" spans="1:17" x14ac:dyDescent="0.2">
      <c r="A3" s="52" t="s">
        <v>199</v>
      </c>
      <c r="B3" s="163">
        <f>'PepsiCo-CFS'!B3</f>
        <v>6</v>
      </c>
      <c r="C3" s="163">
        <f>'PepsiCo-CFS'!C3</f>
        <v>12</v>
      </c>
      <c r="D3" s="163">
        <f>'PepsiCo-CFS'!D3</f>
        <v>12</v>
      </c>
      <c r="E3" s="163">
        <f>'PepsiCo-CFS'!E3</f>
        <v>12</v>
      </c>
      <c r="F3" s="163">
        <f>'PepsiCo-CFS'!F3</f>
        <v>12</v>
      </c>
      <c r="G3" s="297">
        <v>12</v>
      </c>
      <c r="H3" s="214"/>
    </row>
    <row r="4" spans="1:17" x14ac:dyDescent="0.2">
      <c r="A4" s="53"/>
      <c r="B4" s="126">
        <f>'PepsiCo-CFS'!B4</f>
        <v>44196</v>
      </c>
      <c r="C4" s="126">
        <f>'PepsiCo-CFS'!C4</f>
        <v>44561</v>
      </c>
      <c r="D4" s="126">
        <f>'PepsiCo-CFS'!D4</f>
        <v>44926</v>
      </c>
      <c r="E4" s="126">
        <f>'PepsiCo-CFS'!E4</f>
        <v>45291</v>
      </c>
      <c r="F4" s="126">
        <f>'PepsiCo-CFS'!F4</f>
        <v>45657</v>
      </c>
      <c r="G4" s="298">
        <f>EOMONTH(F4,12)</f>
        <v>46022</v>
      </c>
      <c r="H4" s="214"/>
    </row>
    <row r="5" spans="1:17" x14ac:dyDescent="0.2">
      <c r="H5" s="214"/>
    </row>
    <row r="6" spans="1:17" x14ac:dyDescent="0.2">
      <c r="A6" s="1" t="s">
        <v>200</v>
      </c>
      <c r="B6" s="215">
        <f>'PepsiCo-CFS'!B25</f>
        <v>4247.555590672453</v>
      </c>
      <c r="C6" s="215">
        <f>'PepsiCo-CFS'!C25</f>
        <v>4183.7729576412776</v>
      </c>
      <c r="D6" s="215">
        <f>'PepsiCo-CFS'!D25</f>
        <v>2792.5155674049092</v>
      </c>
      <c r="E6" s="215">
        <f>'PepsiCo-CFS'!E25</f>
        <v>2873.1876251629647</v>
      </c>
      <c r="F6" s="215">
        <f>'PepsiCo-CFS'!F25</f>
        <v>2937.0390042773997</v>
      </c>
      <c r="G6" s="1" t="s">
        <v>407</v>
      </c>
      <c r="H6" s="214"/>
    </row>
    <row r="7" spans="1:17" x14ac:dyDescent="0.2">
      <c r="A7" s="1" t="s">
        <v>201</v>
      </c>
      <c r="B7" s="1">
        <f>'PepsiCo-BS'!E5</f>
        <v>8927</v>
      </c>
      <c r="C7" s="1">
        <f>'PepsiCo-BS'!F5</f>
        <v>7824.555590672453</v>
      </c>
      <c r="D7" s="1">
        <f>'PepsiCo-BS'!G5</f>
        <v>8732.3285483137297</v>
      </c>
      <c r="E7" s="1">
        <f>'PepsiCo-BS'!H5</f>
        <v>7693.8441157186389</v>
      </c>
      <c r="F7" s="1">
        <f>'PepsiCo-BS'!I5</f>
        <v>8295.0317408816045</v>
      </c>
      <c r="G7" s="1" t="s">
        <v>406</v>
      </c>
      <c r="H7" s="214"/>
    </row>
    <row r="8" spans="1:17" ht="15" x14ac:dyDescent="0.35">
      <c r="A8" s="1" t="s">
        <v>202</v>
      </c>
      <c r="B8" s="216">
        <f>-$G$8*'PepsiCo-IS'!J6</f>
        <v>-1378.0319936857288</v>
      </c>
      <c r="C8" s="216">
        <f>-$G$8*'PepsiCo-IS'!K6</f>
        <v>-1433.565838294475</v>
      </c>
      <c r="D8" s="216">
        <f>-$G$8*'PepsiCo-IS'!L6</f>
        <v>-1492.1558403693768</v>
      </c>
      <c r="E8" s="216">
        <f>-$G$8*'PepsiCo-IS'!M6</f>
        <v>-1553.9941974497951</v>
      </c>
      <c r="F8" s="216">
        <f>-$G$8*'PepsiCo-IS'!N6</f>
        <v>-1619.2861537653225</v>
      </c>
      <c r="G8" s="217">
        <v>0.02</v>
      </c>
      <c r="H8" s="211" t="s">
        <v>206</v>
      </c>
      <c r="I8" s="292" t="s">
        <v>408</v>
      </c>
    </row>
    <row r="9" spans="1:17" x14ac:dyDescent="0.2">
      <c r="A9" s="1" t="s">
        <v>203</v>
      </c>
      <c r="B9" s="218">
        <f>SUM(B6:B8)</f>
        <v>11796.523596986724</v>
      </c>
      <c r="C9" s="218">
        <f t="shared" ref="C9:F9" si="0">SUM(C6:C8)</f>
        <v>10574.762710019255</v>
      </c>
      <c r="D9" s="218">
        <f t="shared" si="0"/>
        <v>10032.688275349263</v>
      </c>
      <c r="E9" s="218">
        <f t="shared" si="0"/>
        <v>9013.0375434318084</v>
      </c>
      <c r="F9" s="218">
        <f t="shared" si="0"/>
        <v>9612.7845913936817</v>
      </c>
      <c r="H9" s="214"/>
    </row>
    <row r="10" spans="1:17" x14ac:dyDescent="0.2">
      <c r="A10" s="1" t="s">
        <v>204</v>
      </c>
      <c r="B10" s="219">
        <f>-SUMIF($B$17:$B$33,"&lt;="&amp;B4,$I$17:$I$33)</f>
        <v>-2118</v>
      </c>
      <c r="C10" s="219">
        <f>-SUMIF($B$17:$B$33,"&lt;="&amp;C4,$I$17:$I$33)-SUM($B$10:B10)</f>
        <v>-3276</v>
      </c>
      <c r="D10" s="219">
        <f>-SUMIF($B$17:$B$33,"&lt;="&amp;D4,$I$17:$I$33)-SUM($B$10:C10)</f>
        <v>-3831</v>
      </c>
      <c r="E10" s="219">
        <f>-SUMIF($B$17:$B$33,"&lt;="&amp;E4,$I$17:$I$33)-SUM($B$10:D10)</f>
        <v>-2272</v>
      </c>
      <c r="F10" s="219">
        <f>-SUMIF($B$17:$B$33,"&lt;="&amp;F4,$I$17:$I$33)-SUM($B$10:E10)</f>
        <v>-2839</v>
      </c>
      <c r="G10" s="219">
        <f>-SUMIF($B$17:$B$33,"&lt;="&amp;G4,$I$17:$I$33)-SUM($B$10:F10)</f>
        <v>-20410</v>
      </c>
      <c r="H10" s="214"/>
    </row>
    <row r="11" spans="1:17" x14ac:dyDescent="0.2">
      <c r="A11" s="220" t="s">
        <v>205</v>
      </c>
      <c r="B11" s="221">
        <f>SUM(B9:B10)</f>
        <v>9678.5235969867244</v>
      </c>
      <c r="C11" s="221">
        <f t="shared" ref="C11:F11" si="1">SUM(C9:C10)</f>
        <v>7298.7627100192549</v>
      </c>
      <c r="D11" s="221">
        <f t="shared" si="1"/>
        <v>6201.6882753492628</v>
      </c>
      <c r="E11" s="221">
        <f t="shared" si="1"/>
        <v>6741.0375434318084</v>
      </c>
      <c r="F11" s="221">
        <f t="shared" si="1"/>
        <v>6773.7845913936817</v>
      </c>
      <c r="H11" s="214"/>
    </row>
    <row r="12" spans="1:17" x14ac:dyDescent="0.2">
      <c r="A12" s="180" t="s">
        <v>320</v>
      </c>
    </row>
    <row r="14" spans="1:17" x14ac:dyDescent="0.2">
      <c r="A14" s="286" t="s">
        <v>435</v>
      </c>
      <c r="M14" s="375" t="s">
        <v>236</v>
      </c>
      <c r="N14" s="375"/>
      <c r="O14" s="375"/>
      <c r="P14" s="375"/>
      <c r="Q14" s="375"/>
    </row>
    <row r="15" spans="1:17" x14ac:dyDescent="0.2">
      <c r="A15" s="206" t="s">
        <v>229</v>
      </c>
      <c r="B15" s="207"/>
      <c r="C15" s="208"/>
      <c r="D15" s="208"/>
      <c r="E15" s="208"/>
      <c r="F15" s="377" t="s">
        <v>235</v>
      </c>
      <c r="G15" s="379" t="s">
        <v>215</v>
      </c>
      <c r="H15" s="379"/>
      <c r="I15" s="377" t="s">
        <v>410</v>
      </c>
      <c r="M15" s="222">
        <f t="shared" ref="M15:Q15" si="2">B3</f>
        <v>6</v>
      </c>
      <c r="N15" s="222">
        <f t="shared" si="2"/>
        <v>12</v>
      </c>
      <c r="O15" s="222">
        <f t="shared" si="2"/>
        <v>12</v>
      </c>
      <c r="P15" s="222">
        <f t="shared" si="2"/>
        <v>12</v>
      </c>
      <c r="Q15" s="222">
        <f t="shared" si="2"/>
        <v>12</v>
      </c>
    </row>
    <row r="16" spans="1:17" x14ac:dyDescent="0.2">
      <c r="A16" s="208"/>
      <c r="B16" s="207" t="s">
        <v>227</v>
      </c>
      <c r="C16" s="376" t="s">
        <v>208</v>
      </c>
      <c r="D16" s="376"/>
      <c r="E16" s="209" t="s">
        <v>239</v>
      </c>
      <c r="F16" s="378"/>
      <c r="G16" s="210" t="s">
        <v>216</v>
      </c>
      <c r="H16" s="210" t="s">
        <v>217</v>
      </c>
      <c r="I16" s="378"/>
      <c r="J16" s="211" t="s">
        <v>302</v>
      </c>
      <c r="L16" s="223">
        <v>43995</v>
      </c>
      <c r="M16" s="224">
        <f>B4</f>
        <v>44196</v>
      </c>
      <c r="N16" s="224">
        <f>C4</f>
        <v>44561</v>
      </c>
      <c r="O16" s="224">
        <f>D4</f>
        <v>44926</v>
      </c>
      <c r="P16" s="224">
        <f>E4</f>
        <v>45291</v>
      </c>
      <c r="Q16" s="224">
        <f>F4</f>
        <v>45657</v>
      </c>
    </row>
    <row r="17" spans="1:19" x14ac:dyDescent="0.2">
      <c r="A17" s="1" t="s">
        <v>207</v>
      </c>
      <c r="B17" s="223">
        <v>44196</v>
      </c>
      <c r="C17" s="225">
        <v>2.7E-2</v>
      </c>
      <c r="D17" s="225">
        <v>3.9E-2</v>
      </c>
      <c r="E17" s="225">
        <f>AVERAGE(C17:D17)</f>
        <v>3.3000000000000002E-2</v>
      </c>
      <c r="F17" s="215">
        <v>2840</v>
      </c>
      <c r="G17" s="214"/>
      <c r="H17" s="214">
        <v>750</v>
      </c>
      <c r="I17" s="218">
        <f>F17+G17-H17</f>
        <v>2090</v>
      </c>
      <c r="J17" s="212" t="s">
        <v>238</v>
      </c>
      <c r="M17" s="293">
        <f>IF(AND($B17&lt;=M16,$B17&gt;=L$16),($B17-L$16)*$I17*$E17/365,IF($B17&lt;=L$16,0,$I17*$E17*M$15/12))</f>
        <v>37.980739726027402</v>
      </c>
      <c r="N17" s="293">
        <f t="shared" ref="N17:Q17" si="3">IF(AND($B17&lt;=N16,$B17&gt;=M$16),($B17-M$16)*$I17*$E17/365,IF($B17&lt;=M$16,0,$I17*$E17*N$15/12))</f>
        <v>0</v>
      </c>
      <c r="O17" s="293">
        <f t="shared" si="3"/>
        <v>0</v>
      </c>
      <c r="P17" s="293">
        <f t="shared" si="3"/>
        <v>0</v>
      </c>
      <c r="Q17" s="293">
        <f t="shared" si="3"/>
        <v>0</v>
      </c>
    </row>
    <row r="18" spans="1:19" x14ac:dyDescent="0.2">
      <c r="A18" s="1" t="s">
        <v>209</v>
      </c>
      <c r="B18" s="223">
        <v>44561</v>
      </c>
      <c r="C18" s="225">
        <v>2.4E-2</v>
      </c>
      <c r="D18" s="225">
        <v>3.1E-2</v>
      </c>
      <c r="E18" s="225">
        <f t="shared" ref="E18:E33" si="4">AVERAGE(C18:D18)</f>
        <v>2.75E-2</v>
      </c>
      <c r="F18" s="215">
        <v>3276</v>
      </c>
      <c r="G18" s="214"/>
      <c r="H18" s="214"/>
      <c r="I18" s="218">
        <f t="shared" ref="I18:I33" si="5">F18+G18-H18</f>
        <v>3276</v>
      </c>
      <c r="J18" s="212" t="s">
        <v>238</v>
      </c>
      <c r="M18" s="293">
        <f t="shared" ref="M18:M33" si="6">IF(AND($B18&lt;=M17,$B18&gt;=L$16),($B18-L$16)*$I18*$E18/365,IF($B18&lt;=L$16,0,$I18*$E18*M$15/12))</f>
        <v>45.044999999999995</v>
      </c>
      <c r="N18" s="293">
        <f t="shared" ref="N18:N33" si="7">IF(AND($B18&lt;=N17,$B18&gt;=M$16),($B18-M$16)*$I18*$E18/365,IF($B18&lt;=M$16,0,$I18*$E18*N$15/12))</f>
        <v>90.089999999999989</v>
      </c>
      <c r="O18" s="293">
        <f t="shared" ref="O18:O33" si="8">IF(AND($B18&lt;=O17,$B18&gt;=N$16),($B18-N$16)*$I18*$E18/365,IF($B18&lt;=N$16,0,$I18*$E18*O$15/12))</f>
        <v>0</v>
      </c>
      <c r="P18" s="293">
        <f t="shared" ref="P18:P33" si="9">IF(AND($B18&lt;=P17,$B18&gt;=O$16),($B18-O$16)*$I18*$E18/365,IF($B18&lt;=O$16,0,$I18*$E18*P$15/12))</f>
        <v>0</v>
      </c>
      <c r="Q18" s="293">
        <f t="shared" ref="Q18:Q33" si="10">IF(AND($B18&lt;=Q17,$B18&gt;=P$16),($B18-P$16)*$I18*$E18/365,IF($B18&lt;=P$16,0,$I18*$E18*Q$15/12))</f>
        <v>0</v>
      </c>
    </row>
    <row r="19" spans="1:19" x14ac:dyDescent="0.2">
      <c r="A19" s="1" t="s">
        <v>210</v>
      </c>
      <c r="B19" s="223">
        <v>44926</v>
      </c>
      <c r="C19" s="225">
        <v>2.7E-2</v>
      </c>
      <c r="D19" s="225">
        <v>2.8000000000000001E-2</v>
      </c>
      <c r="E19" s="225">
        <f t="shared" si="4"/>
        <v>2.75E-2</v>
      </c>
      <c r="F19" s="215">
        <v>3831</v>
      </c>
      <c r="G19" s="214"/>
      <c r="H19" s="214"/>
      <c r="I19" s="218">
        <f t="shared" si="5"/>
        <v>3831</v>
      </c>
      <c r="J19" s="212" t="s">
        <v>238</v>
      </c>
      <c r="M19" s="293">
        <f t="shared" si="6"/>
        <v>52.676250000000003</v>
      </c>
      <c r="N19" s="293">
        <f t="shared" si="7"/>
        <v>105.35250000000001</v>
      </c>
      <c r="O19" s="293">
        <f t="shared" si="8"/>
        <v>105.35250000000001</v>
      </c>
      <c r="P19" s="293">
        <f t="shared" si="9"/>
        <v>0</v>
      </c>
      <c r="Q19" s="293">
        <f t="shared" si="10"/>
        <v>0</v>
      </c>
    </row>
    <row r="20" spans="1:19" x14ac:dyDescent="0.2">
      <c r="A20" s="1" t="s">
        <v>211</v>
      </c>
      <c r="B20" s="223">
        <v>45291</v>
      </c>
      <c r="C20" s="225">
        <v>2.8000000000000001E-2</v>
      </c>
      <c r="D20" s="225">
        <v>2.9000000000000001E-2</v>
      </c>
      <c r="E20" s="225">
        <f t="shared" si="4"/>
        <v>2.8500000000000001E-2</v>
      </c>
      <c r="F20" s="215">
        <v>1272</v>
      </c>
      <c r="G20" s="214"/>
      <c r="H20" s="214"/>
      <c r="I20" s="218">
        <f t="shared" si="5"/>
        <v>1272</v>
      </c>
      <c r="J20" s="212" t="s">
        <v>238</v>
      </c>
      <c r="M20" s="293">
        <f t="shared" si="6"/>
        <v>18.126000000000001</v>
      </c>
      <c r="N20" s="293">
        <f t="shared" si="7"/>
        <v>36.252000000000002</v>
      </c>
      <c r="O20" s="293">
        <f t="shared" si="8"/>
        <v>36.252000000000002</v>
      </c>
      <c r="P20" s="293">
        <f t="shared" si="9"/>
        <v>36.252000000000002</v>
      </c>
      <c r="Q20" s="293">
        <f t="shared" si="10"/>
        <v>0</v>
      </c>
    </row>
    <row r="21" spans="1:19" x14ac:dyDescent="0.2">
      <c r="A21" s="1" t="s">
        <v>212</v>
      </c>
      <c r="B21" s="223">
        <v>45657</v>
      </c>
      <c r="C21" s="225">
        <v>3.4000000000000002E-2</v>
      </c>
      <c r="D21" s="225">
        <v>3.2000000000000001E-2</v>
      </c>
      <c r="E21" s="225">
        <f t="shared" si="4"/>
        <v>3.3000000000000002E-2</v>
      </c>
      <c r="F21" s="215">
        <v>1839</v>
      </c>
      <c r="G21" s="214"/>
      <c r="H21" s="214"/>
      <c r="I21" s="218">
        <f t="shared" si="5"/>
        <v>1839</v>
      </c>
      <c r="J21" s="212" t="s">
        <v>238</v>
      </c>
      <c r="M21" s="293">
        <f t="shared" si="6"/>
        <v>30.343500000000002</v>
      </c>
      <c r="N21" s="293">
        <f t="shared" si="7"/>
        <v>60.687000000000005</v>
      </c>
      <c r="O21" s="293">
        <f t="shared" si="8"/>
        <v>60.687000000000005</v>
      </c>
      <c r="P21" s="293">
        <f t="shared" si="9"/>
        <v>60.687000000000005</v>
      </c>
      <c r="Q21" s="293">
        <f t="shared" si="10"/>
        <v>60.687000000000005</v>
      </c>
    </row>
    <row r="22" spans="1:19" x14ac:dyDescent="0.2">
      <c r="A22" s="1" t="s">
        <v>213</v>
      </c>
      <c r="B22" s="223">
        <v>46022</v>
      </c>
      <c r="C22" s="225">
        <v>3.4000000000000002E-2</v>
      </c>
      <c r="D22" s="225">
        <v>3.6999999999999998E-2</v>
      </c>
      <c r="E22" s="225">
        <f t="shared" si="4"/>
        <v>3.5500000000000004E-2</v>
      </c>
      <c r="F22" s="215">
        <v>18910</v>
      </c>
      <c r="G22" s="214"/>
      <c r="H22" s="214"/>
      <c r="I22" s="218">
        <f t="shared" si="5"/>
        <v>18910</v>
      </c>
      <c r="J22" s="212" t="s">
        <v>238</v>
      </c>
      <c r="M22" s="293">
        <f t="shared" si="6"/>
        <v>335.65250000000003</v>
      </c>
      <c r="N22" s="293">
        <f t="shared" si="7"/>
        <v>671.30500000000006</v>
      </c>
      <c r="O22" s="293">
        <f t="shared" si="8"/>
        <v>671.30500000000006</v>
      </c>
      <c r="P22" s="293">
        <f t="shared" si="9"/>
        <v>671.30500000000006</v>
      </c>
      <c r="Q22" s="293">
        <f t="shared" si="10"/>
        <v>671.30500000000006</v>
      </c>
    </row>
    <row r="23" spans="1:19" x14ac:dyDescent="0.2">
      <c r="A23" s="1" t="s">
        <v>214</v>
      </c>
      <c r="B23" s="223">
        <v>44196</v>
      </c>
      <c r="C23" s="225">
        <v>1.2999999999999999E-2</v>
      </c>
      <c r="D23" s="225">
        <f>C23</f>
        <v>1.2999999999999999E-2</v>
      </c>
      <c r="E23" s="225">
        <f t="shared" si="4"/>
        <v>1.2999999999999999E-2</v>
      </c>
      <c r="F23" s="215">
        <v>28</v>
      </c>
      <c r="G23" s="214"/>
      <c r="H23" s="214"/>
      <c r="I23" s="218">
        <f t="shared" si="5"/>
        <v>28</v>
      </c>
      <c r="J23" s="212" t="s">
        <v>238</v>
      </c>
      <c r="M23" s="293">
        <f t="shared" si="6"/>
        <v>0.18200000000000002</v>
      </c>
      <c r="N23" s="293">
        <f t="shared" si="7"/>
        <v>0</v>
      </c>
      <c r="O23" s="293">
        <f t="shared" si="8"/>
        <v>0</v>
      </c>
      <c r="P23" s="293">
        <f t="shared" si="9"/>
        <v>0</v>
      </c>
      <c r="Q23" s="293">
        <f t="shared" si="10"/>
        <v>0</v>
      </c>
      <c r="S23" s="226"/>
    </row>
    <row r="24" spans="1:19" x14ac:dyDescent="0.2">
      <c r="A24" s="1" t="s">
        <v>222</v>
      </c>
      <c r="B24" s="223">
        <v>45747</v>
      </c>
      <c r="C24" s="225">
        <v>2.2499999999999999E-2</v>
      </c>
      <c r="D24" s="225">
        <v>2.2499999999999999E-2</v>
      </c>
      <c r="E24" s="225">
        <f t="shared" si="4"/>
        <v>2.2499999999999999E-2</v>
      </c>
      <c r="G24" s="215">
        <v>1500</v>
      </c>
      <c r="H24" s="214"/>
      <c r="I24" s="218">
        <f t="shared" si="5"/>
        <v>1500</v>
      </c>
      <c r="J24" s="213" t="s">
        <v>237</v>
      </c>
      <c r="M24" s="293">
        <f t="shared" si="6"/>
        <v>16.875</v>
      </c>
      <c r="N24" s="293">
        <f t="shared" si="7"/>
        <v>33.75</v>
      </c>
      <c r="O24" s="293">
        <f t="shared" si="8"/>
        <v>33.75</v>
      </c>
      <c r="P24" s="293">
        <f t="shared" si="9"/>
        <v>33.75</v>
      </c>
      <c r="Q24" s="293">
        <f t="shared" si="10"/>
        <v>33.75</v>
      </c>
    </row>
    <row r="25" spans="1:19" x14ac:dyDescent="0.2">
      <c r="A25" s="1" t="s">
        <v>223</v>
      </c>
      <c r="B25" s="223">
        <v>46477</v>
      </c>
      <c r="C25" s="225">
        <v>2.6249999999999999E-2</v>
      </c>
      <c r="D25" s="225">
        <v>2.6249999999999999E-2</v>
      </c>
      <c r="E25" s="225">
        <f t="shared" si="4"/>
        <v>2.6249999999999999E-2</v>
      </c>
      <c r="G25" s="215">
        <v>500</v>
      </c>
      <c r="H25" s="214"/>
      <c r="I25" s="218">
        <f t="shared" si="5"/>
        <v>500</v>
      </c>
      <c r="J25" s="213" t="s">
        <v>237</v>
      </c>
      <c r="M25" s="293">
        <f t="shared" si="6"/>
        <v>6.5625</v>
      </c>
      <c r="N25" s="293">
        <f t="shared" si="7"/>
        <v>13.125</v>
      </c>
      <c r="O25" s="293">
        <f t="shared" si="8"/>
        <v>13.125</v>
      </c>
      <c r="P25" s="293">
        <f t="shared" si="9"/>
        <v>13.125</v>
      </c>
      <c r="Q25" s="293">
        <f t="shared" si="10"/>
        <v>13.125</v>
      </c>
    </row>
    <row r="26" spans="1:19" x14ac:dyDescent="0.2">
      <c r="A26" s="1" t="s">
        <v>224</v>
      </c>
      <c r="B26" s="223">
        <v>47573</v>
      </c>
      <c r="C26" s="225">
        <v>2.75E-2</v>
      </c>
      <c r="D26" s="225">
        <v>2.75E-2</v>
      </c>
      <c r="E26" s="225">
        <f t="shared" si="4"/>
        <v>2.75E-2</v>
      </c>
      <c r="G26" s="215">
        <v>1500</v>
      </c>
      <c r="H26" s="214"/>
      <c r="I26" s="218">
        <f t="shared" si="5"/>
        <v>1500</v>
      </c>
      <c r="J26" s="213" t="s">
        <v>237</v>
      </c>
      <c r="M26" s="293">
        <f t="shared" si="6"/>
        <v>20.625</v>
      </c>
      <c r="N26" s="293">
        <f t="shared" si="7"/>
        <v>41.25</v>
      </c>
      <c r="O26" s="293">
        <f t="shared" si="8"/>
        <v>41.25</v>
      </c>
      <c r="P26" s="293">
        <f t="shared" si="9"/>
        <v>41.25</v>
      </c>
      <c r="Q26" s="293">
        <f t="shared" si="10"/>
        <v>41.25</v>
      </c>
    </row>
    <row r="27" spans="1:19" x14ac:dyDescent="0.2">
      <c r="A27" s="1" t="s">
        <v>225</v>
      </c>
      <c r="B27" s="223">
        <v>51226</v>
      </c>
      <c r="C27" s="225">
        <v>3.5000000000000003E-2</v>
      </c>
      <c r="D27" s="225">
        <v>3.5000000000000003E-2</v>
      </c>
      <c r="E27" s="225">
        <f t="shared" si="4"/>
        <v>3.5000000000000003E-2</v>
      </c>
      <c r="G27" s="215">
        <v>750</v>
      </c>
      <c r="H27" s="214"/>
      <c r="I27" s="218">
        <f t="shared" si="5"/>
        <v>750</v>
      </c>
      <c r="J27" s="213" t="s">
        <v>237</v>
      </c>
      <c r="M27" s="293">
        <f t="shared" si="6"/>
        <v>13.125000000000002</v>
      </c>
      <c r="N27" s="293">
        <f t="shared" si="7"/>
        <v>26.250000000000004</v>
      </c>
      <c r="O27" s="293">
        <f t="shared" si="8"/>
        <v>26.250000000000004</v>
      </c>
      <c r="P27" s="293">
        <f t="shared" si="9"/>
        <v>26.250000000000004</v>
      </c>
      <c r="Q27" s="293">
        <f t="shared" si="10"/>
        <v>26.250000000000004</v>
      </c>
    </row>
    <row r="28" spans="1:19" x14ac:dyDescent="0.2">
      <c r="A28" s="1" t="s">
        <v>226</v>
      </c>
      <c r="B28" s="223">
        <v>54878</v>
      </c>
      <c r="C28" s="225">
        <v>3.6249999999999998E-2</v>
      </c>
      <c r="D28" s="225">
        <v>3.6249999999999998E-2</v>
      </c>
      <c r="E28" s="225">
        <f t="shared" si="4"/>
        <v>3.6249999999999998E-2</v>
      </c>
      <c r="G28" s="215">
        <v>1500</v>
      </c>
      <c r="H28" s="214"/>
      <c r="I28" s="218">
        <f t="shared" si="5"/>
        <v>1500</v>
      </c>
      <c r="J28" s="213" t="s">
        <v>237</v>
      </c>
      <c r="M28" s="293">
        <f t="shared" si="6"/>
        <v>27.187499999999996</v>
      </c>
      <c r="N28" s="293">
        <f t="shared" si="7"/>
        <v>54.374999999999993</v>
      </c>
      <c r="O28" s="293">
        <f t="shared" si="8"/>
        <v>54.374999999999993</v>
      </c>
      <c r="P28" s="293">
        <f t="shared" si="9"/>
        <v>54.374999999999993</v>
      </c>
      <c r="Q28" s="293">
        <f t="shared" si="10"/>
        <v>54.374999999999993</v>
      </c>
    </row>
    <row r="29" spans="1:19" x14ac:dyDescent="0.2">
      <c r="A29" s="1" t="s">
        <v>228</v>
      </c>
      <c r="B29" s="223">
        <v>58531</v>
      </c>
      <c r="C29" s="225">
        <v>3.875E-2</v>
      </c>
      <c r="D29" s="225">
        <v>3.875E-2</v>
      </c>
      <c r="E29" s="225">
        <f t="shared" si="4"/>
        <v>3.875E-2</v>
      </c>
      <c r="G29" s="215">
        <v>750</v>
      </c>
      <c r="H29" s="214"/>
      <c r="I29" s="218">
        <f t="shared" si="5"/>
        <v>750</v>
      </c>
      <c r="J29" s="213" t="s">
        <v>237</v>
      </c>
      <c r="M29" s="293">
        <f t="shared" si="6"/>
        <v>14.53125</v>
      </c>
      <c r="N29" s="293">
        <f t="shared" si="7"/>
        <v>29.0625</v>
      </c>
      <c r="O29" s="293">
        <f t="shared" si="8"/>
        <v>29.0625</v>
      </c>
      <c r="P29" s="293">
        <f t="shared" si="9"/>
        <v>29.0625</v>
      </c>
      <c r="Q29" s="293">
        <f t="shared" si="10"/>
        <v>29.0625</v>
      </c>
    </row>
    <row r="30" spans="1:19" x14ac:dyDescent="0.2">
      <c r="A30" s="1" t="s">
        <v>218</v>
      </c>
      <c r="B30" s="223">
        <v>45077</v>
      </c>
      <c r="C30" s="225">
        <v>7.4999999999999997E-3</v>
      </c>
      <c r="D30" s="225">
        <v>7.4999999999999997E-3</v>
      </c>
      <c r="E30" s="225">
        <f t="shared" si="4"/>
        <v>7.4999999999999997E-3</v>
      </c>
      <c r="G30" s="215">
        <v>1000</v>
      </c>
      <c r="H30" s="214"/>
      <c r="I30" s="218">
        <f t="shared" si="5"/>
        <v>1000</v>
      </c>
      <c r="J30" s="213" t="s">
        <v>237</v>
      </c>
      <c r="M30" s="293">
        <f t="shared" si="6"/>
        <v>3.75</v>
      </c>
      <c r="N30" s="293">
        <f t="shared" si="7"/>
        <v>7.5</v>
      </c>
      <c r="O30" s="293">
        <f t="shared" si="8"/>
        <v>7.5</v>
      </c>
      <c r="P30" s="293">
        <f t="shared" si="9"/>
        <v>7.5</v>
      </c>
      <c r="Q30" s="293">
        <f t="shared" si="10"/>
        <v>0</v>
      </c>
    </row>
    <row r="31" spans="1:19" x14ac:dyDescent="0.2">
      <c r="A31" s="1" t="s">
        <v>219</v>
      </c>
      <c r="B31" s="223">
        <v>47634</v>
      </c>
      <c r="C31" s="225">
        <v>1.6250000000000001E-2</v>
      </c>
      <c r="D31" s="225">
        <v>1.6250000000000001E-2</v>
      </c>
      <c r="E31" s="225">
        <f t="shared" si="4"/>
        <v>1.6250000000000001E-2</v>
      </c>
      <c r="G31" s="215">
        <v>1000</v>
      </c>
      <c r="H31" s="214"/>
      <c r="I31" s="218">
        <f t="shared" si="5"/>
        <v>1000</v>
      </c>
      <c r="J31" s="213" t="s">
        <v>237</v>
      </c>
      <c r="M31" s="293">
        <f t="shared" si="6"/>
        <v>8.125</v>
      </c>
      <c r="N31" s="293">
        <f t="shared" si="7"/>
        <v>16.25</v>
      </c>
      <c r="O31" s="293">
        <f t="shared" si="8"/>
        <v>16.25</v>
      </c>
      <c r="P31" s="293">
        <f t="shared" si="9"/>
        <v>16.25</v>
      </c>
      <c r="Q31" s="293">
        <f t="shared" si="10"/>
        <v>16.25</v>
      </c>
    </row>
    <row r="32" spans="1:19" x14ac:dyDescent="0.2">
      <c r="A32" s="1" t="s">
        <v>220</v>
      </c>
      <c r="B32" s="223">
        <v>45443</v>
      </c>
      <c r="C32" s="225">
        <v>2.5000000000000001E-3</v>
      </c>
      <c r="D32" s="225">
        <v>2.5000000000000001E-3</v>
      </c>
      <c r="E32" s="225">
        <f t="shared" si="4"/>
        <v>2.5000000000000001E-3</v>
      </c>
      <c r="G32" s="215">
        <v>1000</v>
      </c>
      <c r="H32" s="214"/>
      <c r="I32" s="218">
        <f t="shared" si="5"/>
        <v>1000</v>
      </c>
      <c r="J32" s="213" t="s">
        <v>237</v>
      </c>
      <c r="M32" s="293">
        <f t="shared" si="6"/>
        <v>1.25</v>
      </c>
      <c r="N32" s="293">
        <f t="shared" si="7"/>
        <v>2.5</v>
      </c>
      <c r="O32" s="293">
        <f t="shared" si="8"/>
        <v>2.5</v>
      </c>
      <c r="P32" s="293">
        <f t="shared" si="9"/>
        <v>2.5</v>
      </c>
      <c r="Q32" s="293">
        <f t="shared" si="10"/>
        <v>2.5</v>
      </c>
    </row>
    <row r="33" spans="1:19" x14ac:dyDescent="0.2">
      <c r="A33" s="1" t="s">
        <v>221</v>
      </c>
      <c r="B33" s="223">
        <v>46904</v>
      </c>
      <c r="C33" s="225">
        <v>5.0000000000000001E-3</v>
      </c>
      <c r="D33" s="225">
        <v>5.0000000000000001E-3</v>
      </c>
      <c r="E33" s="225">
        <f t="shared" si="4"/>
        <v>5.0000000000000001E-3</v>
      </c>
      <c r="G33" s="215">
        <v>1000</v>
      </c>
      <c r="H33" s="214"/>
      <c r="I33" s="218">
        <f t="shared" si="5"/>
        <v>1000</v>
      </c>
      <c r="J33" s="213" t="s">
        <v>237</v>
      </c>
      <c r="M33" s="293">
        <f t="shared" si="6"/>
        <v>2.5</v>
      </c>
      <c r="N33" s="293">
        <f t="shared" si="7"/>
        <v>5</v>
      </c>
      <c r="O33" s="293">
        <f t="shared" si="8"/>
        <v>5</v>
      </c>
      <c r="P33" s="293">
        <f t="shared" si="9"/>
        <v>5</v>
      </c>
      <c r="Q33" s="293">
        <f t="shared" si="10"/>
        <v>5</v>
      </c>
    </row>
    <row r="34" spans="1:19" x14ac:dyDescent="0.2">
      <c r="G34" s="214"/>
      <c r="H34" s="214"/>
      <c r="I34" s="1"/>
      <c r="M34" s="215"/>
      <c r="N34" s="215"/>
      <c r="O34" s="215"/>
      <c r="P34" s="215"/>
      <c r="Q34" s="215"/>
    </row>
    <row r="35" spans="1:19" ht="13.5" thickBot="1" x14ac:dyDescent="0.25">
      <c r="A35" s="220" t="s">
        <v>321</v>
      </c>
      <c r="E35" s="227">
        <f>AVERAGE(E17:E33)</f>
        <v>2.4441176470588237E-2</v>
      </c>
      <c r="F35" s="228">
        <f>SUM(F17:F34)</f>
        <v>31996</v>
      </c>
      <c r="G35" s="221">
        <f>SUM(G17:G34)</f>
        <v>10500</v>
      </c>
      <c r="H35" s="221">
        <f>SUM(H17:H34)</f>
        <v>750</v>
      </c>
      <c r="I35" s="228">
        <f>SUM(I17:I34)</f>
        <v>41746</v>
      </c>
      <c r="M35" s="294">
        <f>SUM(M17:M34)</f>
        <v>634.53723972602745</v>
      </c>
      <c r="N35" s="294">
        <f t="shared" ref="N35:Q35" si="11">SUM(N17:N34)</f>
        <v>1192.749</v>
      </c>
      <c r="O35" s="294">
        <f t="shared" si="11"/>
        <v>1102.6590000000001</v>
      </c>
      <c r="P35" s="294">
        <f t="shared" si="11"/>
        <v>997.30650000000003</v>
      </c>
      <c r="Q35" s="294">
        <f t="shared" si="11"/>
        <v>953.55450000000008</v>
      </c>
      <c r="S35" s="221"/>
    </row>
    <row r="36" spans="1:19" ht="13.5" thickTop="1" x14ac:dyDescent="0.2">
      <c r="A36" s="220"/>
      <c r="E36" s="227"/>
      <c r="F36" s="221"/>
      <c r="G36" s="221"/>
      <c r="H36" s="221"/>
      <c r="I36" s="221"/>
      <c r="N36" s="221"/>
      <c r="O36" s="221"/>
      <c r="P36" s="221"/>
      <c r="Q36" s="221"/>
      <c r="R36" s="221"/>
      <c r="S36" s="221"/>
    </row>
    <row r="37" spans="1:19" x14ac:dyDescent="0.2">
      <c r="A37" s="220" t="s">
        <v>322</v>
      </c>
      <c r="F37" s="215">
        <f>'PepsiCo-BS'!D23+'PepsiCo-BS'!D27</f>
        <v>32068</v>
      </c>
      <c r="G37" s="215"/>
      <c r="H37" s="215"/>
      <c r="I37" s="215">
        <f>'PepsiCo-BS'!E23+'PepsiCo-BS'!E27</f>
        <v>44978</v>
      </c>
    </row>
    <row r="39" spans="1:19" ht="13.5" thickBot="1" x14ac:dyDescent="0.25">
      <c r="A39" s="220" t="s">
        <v>323</v>
      </c>
      <c r="F39" s="228">
        <f>F37-F35</f>
        <v>72</v>
      </c>
      <c r="H39" s="220"/>
      <c r="I39" s="228">
        <f>I37-I35</f>
        <v>3232</v>
      </c>
      <c r="J39" s="229"/>
      <c r="K39" s="220"/>
      <c r="L39" s="220"/>
    </row>
    <row r="40" spans="1:19" ht="13.5" thickTop="1" x14ac:dyDescent="0.2"/>
    <row r="42" spans="1:19" x14ac:dyDescent="0.2">
      <c r="A42" s="206" t="s">
        <v>230</v>
      </c>
      <c r="B42" s="1" t="s">
        <v>433</v>
      </c>
    </row>
    <row r="43" spans="1:19" x14ac:dyDescent="0.2">
      <c r="A43" s="220"/>
      <c r="B43" s="230">
        <f t="shared" ref="B43:F43" si="12">B3</f>
        <v>6</v>
      </c>
      <c r="C43" s="230">
        <f t="shared" si="12"/>
        <v>12</v>
      </c>
      <c r="D43" s="230">
        <f t="shared" si="12"/>
        <v>12</v>
      </c>
      <c r="E43" s="230">
        <f t="shared" si="12"/>
        <v>12</v>
      </c>
      <c r="F43" s="230">
        <f t="shared" si="12"/>
        <v>12</v>
      </c>
    </row>
    <row r="44" spans="1:19" x14ac:dyDescent="0.2">
      <c r="A44" s="220"/>
      <c r="B44" s="126">
        <f>B4</f>
        <v>44196</v>
      </c>
      <c r="C44" s="126">
        <f>C4</f>
        <v>44561</v>
      </c>
      <c r="D44" s="126">
        <f>D4</f>
        <v>44926</v>
      </c>
      <c r="E44" s="126">
        <f>E4</f>
        <v>45291</v>
      </c>
      <c r="F44" s="126">
        <f>F4</f>
        <v>45657</v>
      </c>
    </row>
    <row r="45" spans="1:19" x14ac:dyDescent="0.2">
      <c r="A45" s="1" t="s">
        <v>231</v>
      </c>
      <c r="B45" s="215">
        <f>I39</f>
        <v>3232</v>
      </c>
      <c r="C45" s="215">
        <f>B48</f>
        <v>0</v>
      </c>
      <c r="D45" s="215">
        <f t="shared" ref="D45:F45" si="13">C48</f>
        <v>0</v>
      </c>
      <c r="E45" s="215">
        <f t="shared" si="13"/>
        <v>0</v>
      </c>
      <c r="F45" s="215">
        <f t="shared" si="13"/>
        <v>0</v>
      </c>
    </row>
    <row r="46" spans="1:19" x14ac:dyDescent="0.2">
      <c r="A46" s="1" t="s">
        <v>232</v>
      </c>
      <c r="B46" s="215">
        <f>IF(B11&lt;0,-B11,0)</f>
        <v>0</v>
      </c>
      <c r="C46" s="215">
        <f t="shared" ref="C46:F46" si="14">IF(C11&lt;0,-C11,0)</f>
        <v>0</v>
      </c>
      <c r="D46" s="215">
        <f t="shared" si="14"/>
        <v>0</v>
      </c>
      <c r="E46" s="215">
        <f t="shared" si="14"/>
        <v>0</v>
      </c>
      <c r="F46" s="215">
        <f t="shared" si="14"/>
        <v>0</v>
      </c>
    </row>
    <row r="47" spans="1:19" x14ac:dyDescent="0.2">
      <c r="A47" s="1" t="s">
        <v>233</v>
      </c>
      <c r="B47" s="215">
        <f>IF(B11&gt;11,MIN(B45,B11),0)</f>
        <v>3232</v>
      </c>
      <c r="C47" s="215">
        <f t="shared" ref="C47:F47" si="15">IF(C11&gt;11,MIN(C45,C11),0)</f>
        <v>0</v>
      </c>
      <c r="D47" s="215">
        <f t="shared" si="15"/>
        <v>0</v>
      </c>
      <c r="E47" s="215">
        <f t="shared" si="15"/>
        <v>0</v>
      </c>
      <c r="F47" s="215">
        <f t="shared" si="15"/>
        <v>0</v>
      </c>
    </row>
    <row r="48" spans="1:19" ht="13.5" thickBot="1" x14ac:dyDescent="0.25">
      <c r="A48" s="1" t="s">
        <v>234</v>
      </c>
      <c r="B48" s="231">
        <f>B45+B46-B47</f>
        <v>0</v>
      </c>
      <c r="C48" s="231">
        <f t="shared" ref="C48:F48" si="16">C45+C46-C47</f>
        <v>0</v>
      </c>
      <c r="D48" s="231">
        <f t="shared" si="16"/>
        <v>0</v>
      </c>
      <c r="E48" s="231">
        <f t="shared" si="16"/>
        <v>0</v>
      </c>
      <c r="F48" s="231">
        <f t="shared" si="16"/>
        <v>0</v>
      </c>
    </row>
    <row r="49" spans="1:9" ht="13.5" thickTop="1" x14ac:dyDescent="0.2"/>
    <row r="50" spans="1:9" x14ac:dyDescent="0.2">
      <c r="A50" s="1" t="s">
        <v>208</v>
      </c>
      <c r="B50" s="232">
        <f>E35</f>
        <v>2.4441176470588237E-2</v>
      </c>
      <c r="C50" s="1" t="s">
        <v>452</v>
      </c>
    </row>
    <row r="51" spans="1:9" x14ac:dyDescent="0.2">
      <c r="G51" s="1" t="s">
        <v>66</v>
      </c>
    </row>
    <row r="52" spans="1:9" x14ac:dyDescent="0.2">
      <c r="A52" s="1" t="s">
        <v>236</v>
      </c>
      <c r="B52" s="233">
        <f>$B$50*B45*B43/12</f>
        <v>39.496941176470592</v>
      </c>
      <c r="C52" s="233">
        <f t="shared" ref="C52:F52" si="17">$B$50*C45*C43/12</f>
        <v>0</v>
      </c>
      <c r="D52" s="233">
        <f t="shared" si="17"/>
        <v>0</v>
      </c>
      <c r="E52" s="233">
        <f t="shared" si="17"/>
        <v>0</v>
      </c>
      <c r="F52" s="233">
        <f t="shared" si="17"/>
        <v>0</v>
      </c>
    </row>
    <row r="56" spans="1:9" x14ac:dyDescent="0.2">
      <c r="I56" s="214" t="s">
        <v>66</v>
      </c>
    </row>
    <row r="57" spans="1:9" x14ac:dyDescent="0.2">
      <c r="A57" s="220" t="s">
        <v>240</v>
      </c>
      <c r="B57" s="218">
        <f>-B8</f>
        <v>1378.0319936857288</v>
      </c>
      <c r="C57" s="218">
        <f t="shared" ref="C57:F57" si="18">-C8</f>
        <v>1433.565838294475</v>
      </c>
      <c r="D57" s="218">
        <f t="shared" si="18"/>
        <v>1492.1558403693768</v>
      </c>
      <c r="E57" s="218">
        <f t="shared" si="18"/>
        <v>1553.9941974497951</v>
      </c>
      <c r="F57" s="218">
        <f t="shared" si="18"/>
        <v>1619.2861537653225</v>
      </c>
    </row>
    <row r="59" spans="1:9" x14ac:dyDescent="0.2">
      <c r="A59" s="1" t="s">
        <v>241</v>
      </c>
      <c r="B59" s="254">
        <v>7.1999999999999998E-3</v>
      </c>
    </row>
    <row r="61" spans="1:9" x14ac:dyDescent="0.2">
      <c r="A61" s="1" t="s">
        <v>242</v>
      </c>
      <c r="B61" s="234">
        <f>$B$59*B57*B43/12</f>
        <v>4.9609151772686237</v>
      </c>
      <c r="C61" s="234">
        <f t="shared" ref="C61:F61" si="19">$B$59*C57*C43/12</f>
        <v>10.321674035720219</v>
      </c>
      <c r="D61" s="234">
        <f t="shared" si="19"/>
        <v>10.743522050659513</v>
      </c>
      <c r="E61" s="234">
        <f t="shared" si="19"/>
        <v>11.188758221638524</v>
      </c>
      <c r="F61" s="234">
        <f t="shared" si="19"/>
        <v>11.658860307110322</v>
      </c>
    </row>
    <row r="65" spans="1:7" x14ac:dyDescent="0.2">
      <c r="A65" s="1" t="s">
        <v>491</v>
      </c>
      <c r="B65" s="1">
        <f>'PepsiCo-BS'!E23+'PepsiCo-BS'!E27</f>
        <v>44978</v>
      </c>
      <c r="C65" s="1">
        <f>B69</f>
        <v>39628</v>
      </c>
      <c r="D65" s="1">
        <f>C69</f>
        <v>36352</v>
      </c>
      <c r="E65" s="1">
        <f>D69</f>
        <v>32521</v>
      </c>
      <c r="F65" s="1">
        <f>E69</f>
        <v>30249</v>
      </c>
    </row>
    <row r="66" spans="1:7" x14ac:dyDescent="0.2">
      <c r="A66" s="1" t="s">
        <v>492</v>
      </c>
      <c r="B66" s="218">
        <f>B10</f>
        <v>-2118</v>
      </c>
      <c r="C66" s="218">
        <f t="shared" ref="C66:F66" si="20">C10</f>
        <v>-3276</v>
      </c>
      <c r="D66" s="218">
        <f t="shared" si="20"/>
        <v>-3831</v>
      </c>
      <c r="E66" s="218">
        <f t="shared" si="20"/>
        <v>-2272</v>
      </c>
      <c r="F66" s="218">
        <f t="shared" si="20"/>
        <v>-2839</v>
      </c>
    </row>
    <row r="67" spans="1:7" x14ac:dyDescent="0.2">
      <c r="A67" s="1" t="s">
        <v>493</v>
      </c>
      <c r="B67" s="218">
        <f>B46</f>
        <v>0</v>
      </c>
      <c r="C67" s="218">
        <f t="shared" ref="C67:F67" si="21">C46</f>
        <v>0</v>
      </c>
      <c r="D67" s="218">
        <f t="shared" si="21"/>
        <v>0</v>
      </c>
      <c r="E67" s="218">
        <f t="shared" si="21"/>
        <v>0</v>
      </c>
      <c r="F67" s="218">
        <f t="shared" si="21"/>
        <v>0</v>
      </c>
    </row>
    <row r="68" spans="1:7" x14ac:dyDescent="0.2">
      <c r="A68" s="1" t="s">
        <v>494</v>
      </c>
      <c r="B68" s="1">
        <f>(B47)*-1</f>
        <v>-3232</v>
      </c>
      <c r="C68" s="1">
        <f t="shared" ref="C68:F68" si="22">(C47)*-1</f>
        <v>0</v>
      </c>
      <c r="D68" s="1">
        <f t="shared" si="22"/>
        <v>0</v>
      </c>
      <c r="E68" s="1">
        <f t="shared" si="22"/>
        <v>0</v>
      </c>
      <c r="F68" s="1">
        <f t="shared" si="22"/>
        <v>0</v>
      </c>
    </row>
    <row r="69" spans="1:7" x14ac:dyDescent="0.2">
      <c r="A69" s="220" t="s">
        <v>488</v>
      </c>
      <c r="B69" s="296">
        <f>SUM(B65:B68)</f>
        <v>39628</v>
      </c>
      <c r="C69" s="296">
        <f>SUM(C65:C68)</f>
        <v>36352</v>
      </c>
      <c r="D69" s="296">
        <f>SUM(D65:D68)</f>
        <v>32521</v>
      </c>
      <c r="E69" s="296">
        <f>SUM(E65:E68)</f>
        <v>30249</v>
      </c>
      <c r="F69" s="296">
        <f>SUM(F65:F68)</f>
        <v>27410</v>
      </c>
      <c r="G69" s="1" t="s">
        <v>495</v>
      </c>
    </row>
    <row r="72" spans="1:7" x14ac:dyDescent="0.2">
      <c r="A72" s="220" t="s">
        <v>497</v>
      </c>
      <c r="B72" s="218">
        <f>-C10+B48</f>
        <v>3276</v>
      </c>
      <c r="C72" s="218">
        <f t="shared" ref="C72:F72" si="23">-D10+C48</f>
        <v>3831</v>
      </c>
      <c r="D72" s="218">
        <f t="shared" si="23"/>
        <v>2272</v>
      </c>
      <c r="E72" s="218">
        <f t="shared" si="23"/>
        <v>2839</v>
      </c>
      <c r="F72" s="218">
        <f t="shared" si="23"/>
        <v>20410</v>
      </c>
    </row>
    <row r="73" spans="1:7" x14ac:dyDescent="0.2">
      <c r="A73" s="220" t="s">
        <v>498</v>
      </c>
      <c r="B73" s="218">
        <f>B69-B72</f>
        <v>36352</v>
      </c>
      <c r="C73" s="218">
        <f t="shared" ref="C73:F73" si="24">C69-C72</f>
        <v>32521</v>
      </c>
      <c r="D73" s="218">
        <f t="shared" si="24"/>
        <v>30249</v>
      </c>
      <c r="E73" s="218">
        <f t="shared" si="24"/>
        <v>27410</v>
      </c>
      <c r="F73" s="218">
        <f t="shared" si="24"/>
        <v>7000</v>
      </c>
    </row>
  </sheetData>
  <mergeCells count="5">
    <mergeCell ref="M14:Q14"/>
    <mergeCell ref="C16:D16"/>
    <mergeCell ref="F15:F16"/>
    <mergeCell ref="G15:H15"/>
    <mergeCell ref="I15:I16"/>
  </mergeCells>
  <phoneticPr fontId="33" type="noConversion"/>
  <conditionalFormatting sqref="B11:F11">
    <cfRule type="cellIs" dxfId="2" priority="1" operator="greaterThan">
      <formula>0</formula>
    </cfRule>
    <cfRule type="cellIs" dxfId="1" priority="2" operator="lessThan">
      <formula>0</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8B4FB-BD3D-45FA-9DE0-F37B1B415928}">
  <dimension ref="A1:L32"/>
  <sheetViews>
    <sheetView showGridLines="0" zoomScale="160" zoomScaleNormal="160" workbookViewId="0">
      <pane xSplit="1" ySplit="4" topLeftCell="B15" activePane="bottomRight" state="frozen"/>
      <selection pane="topRight" activeCell="B1" sqref="B1"/>
      <selection pane="bottomLeft" activeCell="A5" sqref="A5"/>
      <selection pane="bottomRight" activeCell="I36" sqref="I36"/>
    </sheetView>
  </sheetViews>
  <sheetFormatPr defaultColWidth="8.7109375" defaultRowHeight="12.75" x14ac:dyDescent="0.2"/>
  <cols>
    <col min="1" max="1" width="34.5703125" style="1" bestFit="1" customWidth="1"/>
    <col min="2" max="4" width="11" style="1" bestFit="1" customWidth="1"/>
    <col min="5" max="5" width="11.85546875" style="1" customWidth="1"/>
    <col min="6" max="6" width="7.85546875" style="1" customWidth="1"/>
    <col min="7" max="7" width="11" style="1" bestFit="1" customWidth="1"/>
    <col min="8" max="11" width="10.28515625" style="1" bestFit="1" customWidth="1"/>
    <col min="12" max="13" width="10.140625" style="1" bestFit="1" customWidth="1"/>
    <col min="14" max="16384" width="8.7109375" style="1"/>
  </cols>
  <sheetData>
    <row r="1" spans="1:12" ht="15.95" customHeight="1" x14ac:dyDescent="0.2">
      <c r="A1" s="52" t="s">
        <v>243</v>
      </c>
    </row>
    <row r="2" spans="1:12" x14ac:dyDescent="0.2">
      <c r="A2" s="41" t="str">
        <f>'PepsiCo-IS'!A2</f>
        <v>(in USD million except per Share Data)</v>
      </c>
    </row>
    <row r="3" spans="1:12" x14ac:dyDescent="0.2">
      <c r="A3" s="52" t="s">
        <v>163</v>
      </c>
      <c r="B3" s="162">
        <f>'PepsiCo-IS'!E3</f>
        <v>12</v>
      </c>
      <c r="C3" s="162">
        <f>'PepsiCo-IS'!F3</f>
        <v>12</v>
      </c>
      <c r="D3" s="162">
        <f>'PepsiCo-IS'!G3</f>
        <v>12</v>
      </c>
      <c r="E3" s="162">
        <f>'PepsiCo-IS'!H3</f>
        <v>6</v>
      </c>
      <c r="G3" s="283">
        <f>'PepsiCo-IS'!I3</f>
        <v>6</v>
      </c>
      <c r="H3" s="163">
        <f>'PepsiCo-IS'!K3</f>
        <v>12</v>
      </c>
      <c r="I3" s="163">
        <f>'PepsiCo-IS'!L3</f>
        <v>12</v>
      </c>
      <c r="J3" s="163">
        <f>'PepsiCo-IS'!M3</f>
        <v>12</v>
      </c>
      <c r="K3" s="163">
        <f>'PepsiCo-IS'!N3</f>
        <v>12</v>
      </c>
    </row>
    <row r="4" spans="1:12" x14ac:dyDescent="0.2">
      <c r="A4" s="53"/>
      <c r="B4" s="125">
        <f>'PepsiCo-IS'!E4</f>
        <v>43100</v>
      </c>
      <c r="C4" s="125">
        <v>43465</v>
      </c>
      <c r="D4" s="125">
        <v>43830</v>
      </c>
      <c r="E4" s="125" t="s">
        <v>172</v>
      </c>
      <c r="G4" s="284">
        <f>'PepsiCo-IS'!I4</f>
        <v>44196</v>
      </c>
      <c r="H4" s="106">
        <f>'PepsiCo-IS'!K4</f>
        <v>44561</v>
      </c>
      <c r="I4" s="106">
        <f>'PepsiCo-IS'!L4</f>
        <v>44926</v>
      </c>
      <c r="J4" s="106">
        <f>'PepsiCo-IS'!M4</f>
        <v>45291</v>
      </c>
      <c r="K4" s="106">
        <f>'PepsiCo-IS'!N4</f>
        <v>45657</v>
      </c>
    </row>
    <row r="5" spans="1:12" x14ac:dyDescent="0.2">
      <c r="A5" s="1" t="s">
        <v>166</v>
      </c>
      <c r="B5" s="268">
        <v>16591</v>
      </c>
      <c r="C5" s="215">
        <f>B9</f>
        <v>17240</v>
      </c>
      <c r="D5" s="215">
        <f>C9</f>
        <v>17589</v>
      </c>
      <c r="E5" s="215">
        <f>D9</f>
        <v>19305</v>
      </c>
      <c r="G5" s="215">
        <f>E9</f>
        <v>19187</v>
      </c>
      <c r="H5" s="215">
        <f>G9</f>
        <v>20303.374651814494</v>
      </c>
      <c r="I5" s="215">
        <f t="shared" ref="I5:K5" si="0">H9</f>
        <v>19839.788445559934</v>
      </c>
      <c r="J5" s="215">
        <f t="shared" si="0"/>
        <v>20650.642900332583</v>
      </c>
      <c r="K5" s="215">
        <f t="shared" si="0"/>
        <v>21506.452860031466</v>
      </c>
    </row>
    <row r="6" spans="1:12" x14ac:dyDescent="0.2">
      <c r="A6" s="1" t="s">
        <v>173</v>
      </c>
      <c r="B6" s="215">
        <f>B7-B5</f>
        <v>2950</v>
      </c>
      <c r="C6" s="215">
        <f>C7-C5</f>
        <v>2679</v>
      </c>
      <c r="D6" s="215">
        <f>D7-D5</f>
        <v>4067</v>
      </c>
      <c r="E6" s="215">
        <f>E7-E5</f>
        <v>966.6307565789466</v>
      </c>
      <c r="G6" s="215">
        <f>G7-G5</f>
        <v>2348.519719597818</v>
      </c>
      <c r="H6" s="215">
        <f t="shared" ref="H6:K6" si="1">H7-H5</f>
        <v>2100.013311159888</v>
      </c>
      <c r="I6" s="215">
        <f t="shared" si="1"/>
        <v>3479.2285817880256</v>
      </c>
      <c r="J6" s="215">
        <f t="shared" si="1"/>
        <v>3634.7676247243908</v>
      </c>
      <c r="K6" s="215">
        <f t="shared" si="1"/>
        <v>3799.3230986344715</v>
      </c>
    </row>
    <row r="7" spans="1:12" x14ac:dyDescent="0.2">
      <c r="A7" s="1" t="s">
        <v>165</v>
      </c>
      <c r="B7" s="215">
        <f>B9+B8</f>
        <v>19541</v>
      </c>
      <c r="C7" s="215">
        <f>C9+C8</f>
        <v>19919</v>
      </c>
      <c r="D7" s="215">
        <f>D9+D8</f>
        <v>21656</v>
      </c>
      <c r="E7" s="215">
        <f>E9+E8</f>
        <v>20271.630756578947</v>
      </c>
      <c r="G7" s="215">
        <f>('PepsiCo-IS'!J6/'Fixed Assets Schedule'!$G$13)</f>
        <v>21535.519719597818</v>
      </c>
      <c r="H7" s="215">
        <f>('PepsiCo-IS'!K6/'Fixed Assets Schedule'!$G$13)</f>
        <v>22403.387962974382</v>
      </c>
      <c r="I7" s="215">
        <f>('PepsiCo-IS'!L6/'Fixed Assets Schedule'!$G$13)</f>
        <v>23319.01702734796</v>
      </c>
      <c r="J7" s="215">
        <f>('PepsiCo-IS'!M6/'Fixed Assets Schedule'!$G$13)</f>
        <v>24285.410525056974</v>
      </c>
      <c r="K7" s="215">
        <f>('PepsiCo-IS'!N6/'Fixed Assets Schedule'!$G$13)</f>
        <v>25305.775958665938</v>
      </c>
    </row>
    <row r="8" spans="1:12" x14ac:dyDescent="0.2">
      <c r="A8" s="1" t="s">
        <v>164</v>
      </c>
      <c r="B8" s="215">
        <f>B20</f>
        <v>2301</v>
      </c>
      <c r="C8" s="215">
        <f>C20</f>
        <v>2330</v>
      </c>
      <c r="D8" s="215">
        <f>D20</f>
        <v>2351</v>
      </c>
      <c r="E8" s="215">
        <f>E20</f>
        <v>1084.6307565789475</v>
      </c>
      <c r="G8" s="215">
        <f>G7*$G$15/2</f>
        <v>1232.1450677833234</v>
      </c>
      <c r="H8" s="215">
        <f t="shared" ref="H8:K8" si="2">H7*$G$15</f>
        <v>2563.5995174144491</v>
      </c>
      <c r="I8" s="215">
        <f t="shared" si="2"/>
        <v>2668.374127015376</v>
      </c>
      <c r="J8" s="215">
        <f t="shared" si="2"/>
        <v>2778.9576650255071</v>
      </c>
      <c r="K8" s="215">
        <f t="shared" si="2"/>
        <v>2895.7171630759544</v>
      </c>
      <c r="L8" s="1" t="s">
        <v>350</v>
      </c>
    </row>
    <row r="9" spans="1:12" x14ac:dyDescent="0.2">
      <c r="A9" s="1" t="s">
        <v>167</v>
      </c>
      <c r="B9" s="215">
        <f>'PepsiCo-BS'!B13</f>
        <v>17240</v>
      </c>
      <c r="C9" s="215">
        <f>'PepsiCo-BS'!C13</f>
        <v>17589</v>
      </c>
      <c r="D9" s="215">
        <f>'PepsiCo-BS'!D13</f>
        <v>19305</v>
      </c>
      <c r="E9" s="215">
        <f>'PepsiCo-BS'!E13</f>
        <v>19187</v>
      </c>
      <c r="G9" s="215">
        <f>G7-G8</f>
        <v>20303.374651814494</v>
      </c>
      <c r="H9" s="215">
        <f t="shared" ref="H9:K9" si="3">H7-H8</f>
        <v>19839.788445559934</v>
      </c>
      <c r="I9" s="215">
        <f t="shared" si="3"/>
        <v>20650.642900332583</v>
      </c>
      <c r="J9" s="215">
        <f t="shared" si="3"/>
        <v>21506.452860031466</v>
      </c>
      <c r="K9" s="215">
        <f t="shared" si="3"/>
        <v>22410.058795589983</v>
      </c>
    </row>
    <row r="10" spans="1:12" ht="25.5" x14ac:dyDescent="0.2">
      <c r="A10" s="180" t="s">
        <v>302</v>
      </c>
      <c r="B10" s="198" t="s">
        <v>316</v>
      </c>
      <c r="C10" s="380" t="s">
        <v>317</v>
      </c>
      <c r="D10" s="380"/>
      <c r="E10" s="198" t="s">
        <v>318</v>
      </c>
      <c r="G10" s="381" t="s">
        <v>306</v>
      </c>
      <c r="H10" s="382"/>
      <c r="I10" s="382"/>
      <c r="J10" s="382"/>
      <c r="K10" s="383"/>
    </row>
    <row r="11" spans="1:12" x14ac:dyDescent="0.2">
      <c r="B11" s="215"/>
      <c r="C11" s="215"/>
      <c r="D11" s="215"/>
      <c r="E11" s="215"/>
      <c r="G11" s="215"/>
      <c r="H11" s="215"/>
      <c r="I11" s="215"/>
      <c r="J11" s="215"/>
      <c r="K11" s="215"/>
    </row>
    <row r="12" spans="1:12" x14ac:dyDescent="0.2">
      <c r="E12" s="214" t="s">
        <v>174</v>
      </c>
      <c r="G12" s="1" t="s">
        <v>343</v>
      </c>
    </row>
    <row r="13" spans="1:12" x14ac:dyDescent="0.2">
      <c r="A13" s="1" t="s">
        <v>168</v>
      </c>
      <c r="B13" s="233">
        <f>'PepsiCo-IS'!E6/'Fixed Assets Schedule'!B7</f>
        <v>3.2508571720996877</v>
      </c>
      <c r="C13" s="233">
        <f>'PepsiCo-IS'!F6/'Fixed Assets Schedule'!C7</f>
        <v>3.246197098247904</v>
      </c>
      <c r="D13" s="233">
        <f>'PepsiCo-IS'!G6/'Fixed Assets Schedule'!D7</f>
        <v>3.1012652382711487</v>
      </c>
      <c r="E13" s="240">
        <f>'PepsiCo-IS'!H6/'Fixed Assets Schedule'!E7</f>
        <v>1.4713172491226578</v>
      </c>
      <c r="G13" s="241">
        <f>AVERAGE(B13:D13)</f>
        <v>3.1994398362062468</v>
      </c>
    </row>
    <row r="14" spans="1:12" x14ac:dyDescent="0.2">
      <c r="E14" s="242"/>
    </row>
    <row r="15" spans="1:12" x14ac:dyDescent="0.2">
      <c r="A15" s="1" t="s">
        <v>169</v>
      </c>
      <c r="B15" s="243">
        <f>B8/B7</f>
        <v>0.11775241799293792</v>
      </c>
      <c r="C15" s="243">
        <f t="shared" ref="C15:E15" si="4">C8/C7</f>
        <v>0.11697374366183041</v>
      </c>
      <c r="D15" s="243">
        <f t="shared" si="4"/>
        <v>0.10856113779091245</v>
      </c>
      <c r="E15" s="244">
        <f t="shared" si="4"/>
        <v>5.3504859554870388E-2</v>
      </c>
      <c r="G15" s="245">
        <f>AVERAGE(B15:D15)</f>
        <v>0.11442909981522693</v>
      </c>
    </row>
    <row r="18" spans="1:12" x14ac:dyDescent="0.2">
      <c r="A18" s="33" t="s">
        <v>85</v>
      </c>
      <c r="B18" s="1">
        <f>'PepsiCo-IS'!E11</f>
        <v>2107</v>
      </c>
      <c r="C18" s="1">
        <f>'PepsiCo-IS'!F11</f>
        <v>2144</v>
      </c>
      <c r="D18" s="1">
        <f>'PepsiCo-IS'!G11</f>
        <v>2196</v>
      </c>
      <c r="E18" s="215">
        <f>'PepsiCo-IS'!H11</f>
        <v>1013.1217105263158</v>
      </c>
      <c r="F18" s="246">
        <f>AVERAGE(B21:E21)</f>
        <v>0.92600043031660662</v>
      </c>
      <c r="G18" s="215">
        <f>G20*$F$18</f>
        <v>1140.9668629798418</v>
      </c>
      <c r="H18" s="215">
        <f t="shared" ref="H18:K18" si="5">H20*$F$18</f>
        <v>2373.8942562852249</v>
      </c>
      <c r="I18" s="215">
        <f t="shared" si="5"/>
        <v>2470.9155898619379</v>
      </c>
      <c r="J18" s="215">
        <f t="shared" si="5"/>
        <v>2573.3159936452521</v>
      </c>
      <c r="K18" s="215">
        <f t="shared" si="5"/>
        <v>2681.4353390835172</v>
      </c>
      <c r="L18" s="1" t="s">
        <v>351</v>
      </c>
    </row>
    <row r="19" spans="1:12" x14ac:dyDescent="0.2">
      <c r="A19" s="33" t="s">
        <v>95</v>
      </c>
      <c r="B19" s="247">
        <f>'PepsiCo-IS'!E19</f>
        <v>194</v>
      </c>
      <c r="C19" s="247">
        <f>'PepsiCo-IS'!F19</f>
        <v>186</v>
      </c>
      <c r="D19" s="248">
        <f>'PepsiCo-IS'!G19</f>
        <v>155</v>
      </c>
      <c r="E19" s="248">
        <f>'PepsiCo-IS'!H19</f>
        <v>71.509046052631575</v>
      </c>
      <c r="F19" s="249"/>
      <c r="G19" s="248">
        <f>G20-G18</f>
        <v>91.178204803481549</v>
      </c>
      <c r="H19" s="248">
        <f t="shared" ref="H19:K19" si="6">H20-H18</f>
        <v>189.70526112922425</v>
      </c>
      <c r="I19" s="248">
        <f t="shared" si="6"/>
        <v>197.4585371534381</v>
      </c>
      <c r="J19" s="248">
        <f t="shared" si="6"/>
        <v>205.64167138025505</v>
      </c>
      <c r="K19" s="248">
        <f t="shared" si="6"/>
        <v>214.28182399243724</v>
      </c>
    </row>
    <row r="20" spans="1:12" x14ac:dyDescent="0.2">
      <c r="B20" s="1">
        <f>SUM(B18:B19)</f>
        <v>2301</v>
      </c>
      <c r="C20" s="1">
        <f>SUM(C18:C19)</f>
        <v>2330</v>
      </c>
      <c r="D20" s="215">
        <f>SUM(D18:D19)</f>
        <v>2351</v>
      </c>
      <c r="E20" s="215">
        <f>SUM(E18:E19)</f>
        <v>1084.6307565789475</v>
      </c>
      <c r="G20" s="215">
        <f>G8</f>
        <v>1232.1450677833234</v>
      </c>
      <c r="H20" s="215">
        <f t="shared" ref="H20:K20" si="7">H8</f>
        <v>2563.5995174144491</v>
      </c>
      <c r="I20" s="215">
        <f t="shared" si="7"/>
        <v>2668.374127015376</v>
      </c>
      <c r="J20" s="215">
        <f t="shared" si="7"/>
        <v>2778.9576650255071</v>
      </c>
      <c r="K20" s="215">
        <f t="shared" si="7"/>
        <v>2895.7171630759544</v>
      </c>
    </row>
    <row r="21" spans="1:12" x14ac:dyDescent="0.2">
      <c r="B21" s="246">
        <f>B18/B20</f>
        <v>0.91568883094306819</v>
      </c>
      <c r="C21" s="246">
        <f t="shared" ref="C21:E21" si="8">C18/C20</f>
        <v>0.92017167381974252</v>
      </c>
      <c r="D21" s="246">
        <f t="shared" si="8"/>
        <v>0.93407060825180777</v>
      </c>
      <c r="E21" s="246">
        <f t="shared" si="8"/>
        <v>0.93407060825180765</v>
      </c>
    </row>
    <row r="22" spans="1:12" x14ac:dyDescent="0.2">
      <c r="A22" s="52" t="s">
        <v>105</v>
      </c>
      <c r="B22" s="162">
        <f t="shared" ref="B22:E23" si="9">B3</f>
        <v>12</v>
      </c>
      <c r="C22" s="162">
        <f t="shared" si="9"/>
        <v>12</v>
      </c>
      <c r="D22" s="162">
        <f t="shared" si="9"/>
        <v>12</v>
      </c>
      <c r="E22" s="162">
        <f t="shared" si="9"/>
        <v>6</v>
      </c>
      <c r="G22" s="163">
        <f t="shared" ref="G22:K23" si="10">G3</f>
        <v>6</v>
      </c>
      <c r="H22" s="163">
        <f t="shared" si="10"/>
        <v>12</v>
      </c>
      <c r="I22" s="163">
        <f t="shared" si="10"/>
        <v>12</v>
      </c>
      <c r="J22" s="163">
        <f t="shared" si="10"/>
        <v>12</v>
      </c>
      <c r="K22" s="163">
        <f t="shared" si="10"/>
        <v>12</v>
      </c>
    </row>
    <row r="23" spans="1:12" x14ac:dyDescent="0.2">
      <c r="A23" s="53"/>
      <c r="B23" s="125">
        <f t="shared" si="9"/>
        <v>43100</v>
      </c>
      <c r="C23" s="125">
        <f t="shared" si="9"/>
        <v>43465</v>
      </c>
      <c r="D23" s="125">
        <f t="shared" si="9"/>
        <v>43830</v>
      </c>
      <c r="E23" s="125" t="str">
        <f t="shared" si="9"/>
        <v>June-30-2020</v>
      </c>
      <c r="G23" s="106">
        <f t="shared" si="10"/>
        <v>44196</v>
      </c>
      <c r="H23" s="106">
        <f t="shared" si="10"/>
        <v>44561</v>
      </c>
      <c r="I23" s="106">
        <f t="shared" si="10"/>
        <v>44926</v>
      </c>
      <c r="J23" s="106">
        <f t="shared" si="10"/>
        <v>45291</v>
      </c>
      <c r="K23" s="106">
        <f t="shared" si="10"/>
        <v>45657</v>
      </c>
    </row>
    <row r="24" spans="1:12" x14ac:dyDescent="0.2">
      <c r="A24" s="1" t="s">
        <v>166</v>
      </c>
      <c r="B24" s="215">
        <v>1237</v>
      </c>
      <c r="C24" s="215">
        <f>B28</f>
        <v>1268</v>
      </c>
      <c r="D24" s="215">
        <f>C28</f>
        <v>1644</v>
      </c>
      <c r="E24" s="215">
        <f>D28</f>
        <v>1433</v>
      </c>
      <c r="G24" s="215">
        <f>E28</f>
        <v>1465</v>
      </c>
      <c r="H24" s="215">
        <f>G28</f>
        <v>1429.6741927033688</v>
      </c>
      <c r="I24" s="215">
        <f t="shared" ref="I24:K24" si="11">H28</f>
        <v>1360.7262131424052</v>
      </c>
      <c r="J24" s="215">
        <f t="shared" si="11"/>
        <v>1295.1033435329264</v>
      </c>
      <c r="K24" s="215">
        <f t="shared" si="11"/>
        <v>1232.645225931743</v>
      </c>
    </row>
    <row r="25" spans="1:12" x14ac:dyDescent="0.2">
      <c r="A25" s="1" t="s">
        <v>173</v>
      </c>
      <c r="B25" s="215">
        <f>B26-B24</f>
        <v>99</v>
      </c>
      <c r="C25" s="215">
        <f>C26-C24</f>
        <v>445</v>
      </c>
      <c r="D25" s="215">
        <f>D26-D24</f>
        <v>-130</v>
      </c>
      <c r="E25" s="215">
        <f>E26-E24</f>
        <v>69.369243421052715</v>
      </c>
      <c r="G25" s="285">
        <v>0</v>
      </c>
      <c r="H25" s="285">
        <v>0</v>
      </c>
      <c r="I25" s="285">
        <v>0</v>
      </c>
      <c r="J25" s="285">
        <v>0</v>
      </c>
      <c r="K25" s="285">
        <v>0</v>
      </c>
    </row>
    <row r="26" spans="1:12" x14ac:dyDescent="0.2">
      <c r="A26" s="1" t="s">
        <v>191</v>
      </c>
      <c r="B26" s="215">
        <f>B27+B28</f>
        <v>1336</v>
      </c>
      <c r="C26" s="215">
        <f>C27+C28</f>
        <v>1713</v>
      </c>
      <c r="D26" s="215">
        <f>D27+D28</f>
        <v>1514</v>
      </c>
      <c r="E26" s="215">
        <f>E27+E28</f>
        <v>1502.3692434210527</v>
      </c>
      <c r="G26" s="215">
        <f>G24-G25</f>
        <v>1465</v>
      </c>
      <c r="H26" s="215">
        <f t="shared" ref="H26:K26" si="12">H24-H25</f>
        <v>1429.6741927033688</v>
      </c>
      <c r="I26" s="215">
        <f t="shared" si="12"/>
        <v>1360.7262131424052</v>
      </c>
      <c r="J26" s="215">
        <f t="shared" si="12"/>
        <v>1295.1033435329264</v>
      </c>
      <c r="K26" s="215">
        <f t="shared" si="12"/>
        <v>1232.645225931743</v>
      </c>
    </row>
    <row r="27" spans="1:12" x14ac:dyDescent="0.2">
      <c r="A27" s="1" t="s">
        <v>192</v>
      </c>
      <c r="B27" s="218">
        <f>'PepsiCo-IS'!E20</f>
        <v>68</v>
      </c>
      <c r="C27" s="218">
        <f>'PepsiCo-IS'!F20</f>
        <v>69</v>
      </c>
      <c r="D27" s="218">
        <f>'PepsiCo-IS'!G20</f>
        <v>81</v>
      </c>
      <c r="E27" s="218">
        <f>'PepsiCo-IS'!H20</f>
        <v>37.36924342105263</v>
      </c>
      <c r="G27" s="215">
        <f>G26*$G$32/2</f>
        <v>35.325807296631112</v>
      </c>
      <c r="H27" s="215">
        <f t="shared" ref="H27:K27" si="13">H26*$G$32</f>
        <v>68.947979560963631</v>
      </c>
      <c r="I27" s="215">
        <f t="shared" si="13"/>
        <v>65.622869609478769</v>
      </c>
      <c r="J27" s="215">
        <f t="shared" si="13"/>
        <v>62.458117601183339</v>
      </c>
      <c r="K27" s="215">
        <f t="shared" si="13"/>
        <v>59.445990056487467</v>
      </c>
      <c r="L27" s="234"/>
    </row>
    <row r="28" spans="1:12" x14ac:dyDescent="0.2">
      <c r="A28" s="1" t="s">
        <v>167</v>
      </c>
      <c r="B28" s="215">
        <f>'PepsiCo-BS'!B14</f>
        <v>1268</v>
      </c>
      <c r="C28" s="215">
        <f>'PepsiCo-BS'!C14</f>
        <v>1644</v>
      </c>
      <c r="D28" s="215">
        <f>'PepsiCo-BS'!D14</f>
        <v>1433</v>
      </c>
      <c r="E28" s="215">
        <f>'PepsiCo-BS'!E14</f>
        <v>1465</v>
      </c>
      <c r="G28" s="215">
        <f>G26-G27</f>
        <v>1429.6741927033688</v>
      </c>
      <c r="H28" s="215">
        <f t="shared" ref="H28:K28" si="14">H26-H27</f>
        <v>1360.7262131424052</v>
      </c>
      <c r="I28" s="215">
        <f t="shared" si="14"/>
        <v>1295.1033435329264</v>
      </c>
      <c r="J28" s="215">
        <f t="shared" si="14"/>
        <v>1232.645225931743</v>
      </c>
      <c r="K28" s="215">
        <f t="shared" si="14"/>
        <v>1173.1992358752555</v>
      </c>
      <c r="L28" s="234"/>
    </row>
    <row r="29" spans="1:12" ht="25.5" x14ac:dyDescent="0.2">
      <c r="A29" s="180" t="s">
        <v>302</v>
      </c>
      <c r="B29" s="198" t="s">
        <v>316</v>
      </c>
      <c r="C29" s="380" t="s">
        <v>317</v>
      </c>
      <c r="D29" s="380"/>
      <c r="E29" s="198" t="s">
        <v>318</v>
      </c>
      <c r="G29" s="381" t="s">
        <v>306</v>
      </c>
      <c r="H29" s="382"/>
      <c r="I29" s="382"/>
      <c r="J29" s="382"/>
      <c r="K29" s="383"/>
    </row>
    <row r="31" spans="1:12" x14ac:dyDescent="0.2">
      <c r="E31" s="214" t="s">
        <v>174</v>
      </c>
    </row>
    <row r="32" spans="1:12" x14ac:dyDescent="0.2">
      <c r="A32" s="1" t="s">
        <v>193</v>
      </c>
      <c r="B32" s="243">
        <f>B27/B26</f>
        <v>5.089820359281437E-2</v>
      </c>
      <c r="C32" s="243">
        <f t="shared" ref="C32:D32" si="15">C27/C26</f>
        <v>4.0280210157618214E-2</v>
      </c>
      <c r="D32" s="243">
        <f t="shared" si="15"/>
        <v>5.3500660501981503E-2</v>
      </c>
      <c r="E32" s="250">
        <f>E27/E26</f>
        <v>2.4873541297982735E-2</v>
      </c>
      <c r="G32" s="245">
        <f>AVERAGE(B32:D32)</f>
        <v>4.8226358084138034E-2</v>
      </c>
    </row>
  </sheetData>
  <mergeCells count="4">
    <mergeCell ref="C10:D10"/>
    <mergeCell ref="G10:K10"/>
    <mergeCell ref="C29:D29"/>
    <mergeCell ref="G29:K29"/>
  </mergeCells>
  <phoneticPr fontId="3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autoPageBreaks="0"/>
  </sheetPr>
  <dimension ref="A1:L571"/>
  <sheetViews>
    <sheetView showGridLines="0" zoomScale="137" zoomScaleNormal="100" workbookViewId="0">
      <pane xSplit="1" ySplit="3" topLeftCell="B4" activePane="bottomRight" state="frozen"/>
      <selection activeCell="I9" sqref="I9"/>
      <selection pane="topRight" activeCell="I9" sqref="I9"/>
      <selection pane="bottomLeft" activeCell="I9" sqref="I9"/>
      <selection pane="bottomRight" activeCell="E17" sqref="E17"/>
    </sheetView>
  </sheetViews>
  <sheetFormatPr defaultColWidth="8.85546875" defaultRowHeight="12.75" outlineLevelRow="1" x14ac:dyDescent="0.2"/>
  <cols>
    <col min="1" max="1" width="45.85546875" style="5" customWidth="1"/>
    <col min="2" max="2" width="14.5703125" style="5" bestFit="1" customWidth="1"/>
    <col min="3" max="5" width="14.85546875" style="5" customWidth="1"/>
    <col min="6" max="10" width="11" style="31" bestFit="1" customWidth="1"/>
    <col min="11" max="11" width="7.42578125" style="5" customWidth="1"/>
    <col min="12" max="12" width="19.140625" style="5" customWidth="1"/>
    <col min="13" max="255" width="8.85546875" style="5"/>
    <col min="256" max="256" width="45.85546875" style="5" customWidth="1"/>
    <col min="257" max="261" width="14.85546875" style="5" customWidth="1"/>
    <col min="262" max="262" width="8.5703125" style="5" bestFit="1" customWidth="1"/>
    <col min="263" max="266" width="8.85546875" style="5" bestFit="1" customWidth="1"/>
    <col min="267" max="511" width="8.85546875" style="5"/>
    <col min="512" max="512" width="45.85546875" style="5" customWidth="1"/>
    <col min="513" max="517" width="14.85546875" style="5" customWidth="1"/>
    <col min="518" max="518" width="8.5703125" style="5" bestFit="1" customWidth="1"/>
    <col min="519" max="522" width="8.85546875" style="5" bestFit="1" customWidth="1"/>
    <col min="523" max="767" width="8.85546875" style="5"/>
    <col min="768" max="768" width="45.85546875" style="5" customWidth="1"/>
    <col min="769" max="773" width="14.85546875" style="5" customWidth="1"/>
    <col min="774" max="774" width="8.5703125" style="5" bestFit="1" customWidth="1"/>
    <col min="775" max="778" width="8.85546875" style="5" bestFit="1" customWidth="1"/>
    <col min="779" max="1023" width="8.85546875" style="5"/>
    <col min="1024" max="1024" width="45.85546875" style="5" customWidth="1"/>
    <col min="1025" max="1029" width="14.85546875" style="5" customWidth="1"/>
    <col min="1030" max="1030" width="8.5703125" style="5" bestFit="1" customWidth="1"/>
    <col min="1031" max="1034" width="8.85546875" style="5" bestFit="1" customWidth="1"/>
    <col min="1035" max="1279" width="8.85546875" style="5"/>
    <col min="1280" max="1280" width="45.85546875" style="5" customWidth="1"/>
    <col min="1281" max="1285" width="14.85546875" style="5" customWidth="1"/>
    <col min="1286" max="1286" width="8.5703125" style="5" bestFit="1" customWidth="1"/>
    <col min="1287" max="1290" width="8.85546875" style="5" bestFit="1" customWidth="1"/>
    <col min="1291" max="1535" width="8.85546875" style="5"/>
    <col min="1536" max="1536" width="45.85546875" style="5" customWidth="1"/>
    <col min="1537" max="1541" width="14.85546875" style="5" customWidth="1"/>
    <col min="1542" max="1542" width="8.5703125" style="5" bestFit="1" customWidth="1"/>
    <col min="1543" max="1546" width="8.85546875" style="5" bestFit="1" customWidth="1"/>
    <col min="1547" max="1791" width="8.85546875" style="5"/>
    <col min="1792" max="1792" width="45.85546875" style="5" customWidth="1"/>
    <col min="1793" max="1797" width="14.85546875" style="5" customWidth="1"/>
    <col min="1798" max="1798" width="8.5703125" style="5" bestFit="1" customWidth="1"/>
    <col min="1799" max="1802" width="8.85546875" style="5" bestFit="1" customWidth="1"/>
    <col min="1803" max="2047" width="8.85546875" style="5"/>
    <col min="2048" max="2048" width="45.85546875" style="5" customWidth="1"/>
    <col min="2049" max="2053" width="14.85546875" style="5" customWidth="1"/>
    <col min="2054" max="2054" width="8.5703125" style="5" bestFit="1" customWidth="1"/>
    <col min="2055" max="2058" width="8.85546875" style="5" bestFit="1" customWidth="1"/>
    <col min="2059" max="2303" width="8.85546875" style="5"/>
    <col min="2304" max="2304" width="45.85546875" style="5" customWidth="1"/>
    <col min="2305" max="2309" width="14.85546875" style="5" customWidth="1"/>
    <col min="2310" max="2310" width="8.5703125" style="5" bestFit="1" customWidth="1"/>
    <col min="2311" max="2314" width="8.85546875" style="5" bestFit="1" customWidth="1"/>
    <col min="2315" max="2559" width="8.85546875" style="5"/>
    <col min="2560" max="2560" width="45.85546875" style="5" customWidth="1"/>
    <col min="2561" max="2565" width="14.85546875" style="5" customWidth="1"/>
    <col min="2566" max="2566" width="8.5703125" style="5" bestFit="1" customWidth="1"/>
    <col min="2567" max="2570" width="8.85546875" style="5" bestFit="1" customWidth="1"/>
    <col min="2571" max="2815" width="8.85546875" style="5"/>
    <col min="2816" max="2816" width="45.85546875" style="5" customWidth="1"/>
    <col min="2817" max="2821" width="14.85546875" style="5" customWidth="1"/>
    <col min="2822" max="2822" width="8.5703125" style="5" bestFit="1" customWidth="1"/>
    <col min="2823" max="2826" width="8.85546875" style="5" bestFit="1" customWidth="1"/>
    <col min="2827" max="3071" width="8.85546875" style="5"/>
    <col min="3072" max="3072" width="45.85546875" style="5" customWidth="1"/>
    <col min="3073" max="3077" width="14.85546875" style="5" customWidth="1"/>
    <col min="3078" max="3078" width="8.5703125" style="5" bestFit="1" customWidth="1"/>
    <col min="3079" max="3082" width="8.85546875" style="5" bestFit="1" customWidth="1"/>
    <col min="3083" max="3327" width="8.85546875" style="5"/>
    <col min="3328" max="3328" width="45.85546875" style="5" customWidth="1"/>
    <col min="3329" max="3333" width="14.85546875" style="5" customWidth="1"/>
    <col min="3334" max="3334" width="8.5703125" style="5" bestFit="1" customWidth="1"/>
    <col min="3335" max="3338" width="8.85546875" style="5" bestFit="1" customWidth="1"/>
    <col min="3339" max="3583" width="8.85546875" style="5"/>
    <col min="3584" max="3584" width="45.85546875" style="5" customWidth="1"/>
    <col min="3585" max="3589" width="14.85546875" style="5" customWidth="1"/>
    <col min="3590" max="3590" width="8.5703125" style="5" bestFit="1" customWidth="1"/>
    <col min="3591" max="3594" width="8.85546875" style="5" bestFit="1" customWidth="1"/>
    <col min="3595" max="3839" width="8.85546875" style="5"/>
    <col min="3840" max="3840" width="45.85546875" style="5" customWidth="1"/>
    <col min="3841" max="3845" width="14.85546875" style="5" customWidth="1"/>
    <col min="3846" max="3846" width="8.5703125" style="5" bestFit="1" customWidth="1"/>
    <col min="3847" max="3850" width="8.85546875" style="5" bestFit="1" customWidth="1"/>
    <col min="3851" max="4095" width="8.85546875" style="5"/>
    <col min="4096" max="4096" width="45.85546875" style="5" customWidth="1"/>
    <col min="4097" max="4101" width="14.85546875" style="5" customWidth="1"/>
    <col min="4102" max="4102" width="8.5703125" style="5" bestFit="1" customWidth="1"/>
    <col min="4103" max="4106" width="8.85546875" style="5" bestFit="1" customWidth="1"/>
    <col min="4107" max="4351" width="8.85546875" style="5"/>
    <col min="4352" max="4352" width="45.85546875" style="5" customWidth="1"/>
    <col min="4353" max="4357" width="14.85546875" style="5" customWidth="1"/>
    <col min="4358" max="4358" width="8.5703125" style="5" bestFit="1" customWidth="1"/>
    <col min="4359" max="4362" width="8.85546875" style="5" bestFit="1" customWidth="1"/>
    <col min="4363" max="4607" width="8.85546875" style="5"/>
    <col min="4608" max="4608" width="45.85546875" style="5" customWidth="1"/>
    <col min="4609" max="4613" width="14.85546875" style="5" customWidth="1"/>
    <col min="4614" max="4614" width="8.5703125" style="5" bestFit="1" customWidth="1"/>
    <col min="4615" max="4618" width="8.85546875" style="5" bestFit="1" customWidth="1"/>
    <col min="4619" max="4863" width="8.85546875" style="5"/>
    <col min="4864" max="4864" width="45.85546875" style="5" customWidth="1"/>
    <col min="4865" max="4869" width="14.85546875" style="5" customWidth="1"/>
    <col min="4870" max="4870" width="8.5703125" style="5" bestFit="1" customWidth="1"/>
    <col min="4871" max="4874" width="8.85546875" style="5" bestFit="1" customWidth="1"/>
    <col min="4875" max="5119" width="8.85546875" style="5"/>
    <col min="5120" max="5120" width="45.85546875" style="5" customWidth="1"/>
    <col min="5121" max="5125" width="14.85546875" style="5" customWidth="1"/>
    <col min="5126" max="5126" width="8.5703125" style="5" bestFit="1" customWidth="1"/>
    <col min="5127" max="5130" width="8.85546875" style="5" bestFit="1" customWidth="1"/>
    <col min="5131" max="5375" width="8.85546875" style="5"/>
    <col min="5376" max="5376" width="45.85546875" style="5" customWidth="1"/>
    <col min="5377" max="5381" width="14.85546875" style="5" customWidth="1"/>
    <col min="5382" max="5382" width="8.5703125" style="5" bestFit="1" customWidth="1"/>
    <col min="5383" max="5386" width="8.85546875" style="5" bestFit="1" customWidth="1"/>
    <col min="5387" max="5631" width="8.85546875" style="5"/>
    <col min="5632" max="5632" width="45.85546875" style="5" customWidth="1"/>
    <col min="5633" max="5637" width="14.85546875" style="5" customWidth="1"/>
    <col min="5638" max="5638" width="8.5703125" style="5" bestFit="1" customWidth="1"/>
    <col min="5639" max="5642" width="8.85546875" style="5" bestFit="1" customWidth="1"/>
    <col min="5643" max="5887" width="8.85546875" style="5"/>
    <col min="5888" max="5888" width="45.85546875" style="5" customWidth="1"/>
    <col min="5889" max="5893" width="14.85546875" style="5" customWidth="1"/>
    <col min="5894" max="5894" width="8.5703125" style="5" bestFit="1" customWidth="1"/>
    <col min="5895" max="5898" width="8.85546875" style="5" bestFit="1" customWidth="1"/>
    <col min="5899" max="6143" width="8.85546875" style="5"/>
    <col min="6144" max="6144" width="45.85546875" style="5" customWidth="1"/>
    <col min="6145" max="6149" width="14.85546875" style="5" customWidth="1"/>
    <col min="6150" max="6150" width="8.5703125" style="5" bestFit="1" customWidth="1"/>
    <col min="6151" max="6154" width="8.85546875" style="5" bestFit="1" customWidth="1"/>
    <col min="6155" max="6399" width="8.85546875" style="5"/>
    <col min="6400" max="6400" width="45.85546875" style="5" customWidth="1"/>
    <col min="6401" max="6405" width="14.85546875" style="5" customWidth="1"/>
    <col min="6406" max="6406" width="8.5703125" style="5" bestFit="1" customWidth="1"/>
    <col min="6407" max="6410" width="8.85546875" style="5" bestFit="1" customWidth="1"/>
    <col min="6411" max="6655" width="8.85546875" style="5"/>
    <col min="6656" max="6656" width="45.85546875" style="5" customWidth="1"/>
    <col min="6657" max="6661" width="14.85546875" style="5" customWidth="1"/>
    <col min="6662" max="6662" width="8.5703125" style="5" bestFit="1" customWidth="1"/>
    <col min="6663" max="6666" width="8.85546875" style="5" bestFit="1" customWidth="1"/>
    <col min="6667" max="6911" width="8.85546875" style="5"/>
    <col min="6912" max="6912" width="45.85546875" style="5" customWidth="1"/>
    <col min="6913" max="6917" width="14.85546875" style="5" customWidth="1"/>
    <col min="6918" max="6918" width="8.5703125" style="5" bestFit="1" customWidth="1"/>
    <col min="6919" max="6922" width="8.85546875" style="5" bestFit="1" customWidth="1"/>
    <col min="6923" max="7167" width="8.85546875" style="5"/>
    <col min="7168" max="7168" width="45.85546875" style="5" customWidth="1"/>
    <col min="7169" max="7173" width="14.85546875" style="5" customWidth="1"/>
    <col min="7174" max="7174" width="8.5703125" style="5" bestFit="1" customWidth="1"/>
    <col min="7175" max="7178" width="8.85546875" style="5" bestFit="1" customWidth="1"/>
    <col min="7179" max="7423" width="8.85546875" style="5"/>
    <col min="7424" max="7424" width="45.85546875" style="5" customWidth="1"/>
    <col min="7425" max="7429" width="14.85546875" style="5" customWidth="1"/>
    <col min="7430" max="7430" width="8.5703125" style="5" bestFit="1" customWidth="1"/>
    <col min="7431" max="7434" width="8.85546875" style="5" bestFit="1" customWidth="1"/>
    <col min="7435" max="7679" width="8.85546875" style="5"/>
    <col min="7680" max="7680" width="45.85546875" style="5" customWidth="1"/>
    <col min="7681" max="7685" width="14.85546875" style="5" customWidth="1"/>
    <col min="7686" max="7686" width="8.5703125" style="5" bestFit="1" customWidth="1"/>
    <col min="7687" max="7690" width="8.85546875" style="5" bestFit="1" customWidth="1"/>
    <col min="7691" max="7935" width="8.85546875" style="5"/>
    <col min="7936" max="7936" width="45.85546875" style="5" customWidth="1"/>
    <col min="7937" max="7941" width="14.85546875" style="5" customWidth="1"/>
    <col min="7942" max="7942" width="8.5703125" style="5" bestFit="1" customWidth="1"/>
    <col min="7943" max="7946" width="8.85546875" style="5" bestFit="1" customWidth="1"/>
    <col min="7947" max="8191" width="8.85546875" style="5"/>
    <col min="8192" max="8192" width="45.85546875" style="5" customWidth="1"/>
    <col min="8193" max="8197" width="14.85546875" style="5" customWidth="1"/>
    <col min="8198" max="8198" width="8.5703125" style="5" bestFit="1" customWidth="1"/>
    <col min="8199" max="8202" width="8.85546875" style="5" bestFit="1" customWidth="1"/>
    <col min="8203" max="8447" width="8.85546875" style="5"/>
    <col min="8448" max="8448" width="45.85546875" style="5" customWidth="1"/>
    <col min="8449" max="8453" width="14.85546875" style="5" customWidth="1"/>
    <col min="8454" max="8454" width="8.5703125" style="5" bestFit="1" customWidth="1"/>
    <col min="8455" max="8458" width="8.85546875" style="5" bestFit="1" customWidth="1"/>
    <col min="8459" max="8703" width="8.85546875" style="5"/>
    <col min="8704" max="8704" width="45.85546875" style="5" customWidth="1"/>
    <col min="8705" max="8709" width="14.85546875" style="5" customWidth="1"/>
    <col min="8710" max="8710" width="8.5703125" style="5" bestFit="1" customWidth="1"/>
    <col min="8711" max="8714" width="8.85546875" style="5" bestFit="1" customWidth="1"/>
    <col min="8715" max="8959" width="8.85546875" style="5"/>
    <col min="8960" max="8960" width="45.85546875" style="5" customWidth="1"/>
    <col min="8961" max="8965" width="14.85546875" style="5" customWidth="1"/>
    <col min="8966" max="8966" width="8.5703125" style="5" bestFit="1" customWidth="1"/>
    <col min="8967" max="8970" width="8.85546875" style="5" bestFit="1" customWidth="1"/>
    <col min="8971" max="9215" width="8.85546875" style="5"/>
    <col min="9216" max="9216" width="45.85546875" style="5" customWidth="1"/>
    <col min="9217" max="9221" width="14.85546875" style="5" customWidth="1"/>
    <col min="9222" max="9222" width="8.5703125" style="5" bestFit="1" customWidth="1"/>
    <col min="9223" max="9226" width="8.85546875" style="5" bestFit="1" customWidth="1"/>
    <col min="9227" max="9471" width="8.85546875" style="5"/>
    <col min="9472" max="9472" width="45.85546875" style="5" customWidth="1"/>
    <col min="9473" max="9477" width="14.85546875" style="5" customWidth="1"/>
    <col min="9478" max="9478" width="8.5703125" style="5" bestFit="1" customWidth="1"/>
    <col min="9479" max="9482" width="8.85546875" style="5" bestFit="1" customWidth="1"/>
    <col min="9483" max="9727" width="8.85546875" style="5"/>
    <col min="9728" max="9728" width="45.85546875" style="5" customWidth="1"/>
    <col min="9729" max="9733" width="14.85546875" style="5" customWidth="1"/>
    <col min="9734" max="9734" width="8.5703125" style="5" bestFit="1" customWidth="1"/>
    <col min="9735" max="9738" width="8.85546875" style="5" bestFit="1" customWidth="1"/>
    <col min="9739" max="9983" width="8.85546875" style="5"/>
    <col min="9984" max="9984" width="45.85546875" style="5" customWidth="1"/>
    <col min="9985" max="9989" width="14.85546875" style="5" customWidth="1"/>
    <col min="9990" max="9990" width="8.5703125" style="5" bestFit="1" customWidth="1"/>
    <col min="9991" max="9994" width="8.85546875" style="5" bestFit="1" customWidth="1"/>
    <col min="9995" max="10239" width="8.85546875" style="5"/>
    <col min="10240" max="10240" width="45.85546875" style="5" customWidth="1"/>
    <col min="10241" max="10245" width="14.85546875" style="5" customWidth="1"/>
    <col min="10246" max="10246" width="8.5703125" style="5" bestFit="1" customWidth="1"/>
    <col min="10247" max="10250" width="8.85546875" style="5" bestFit="1" customWidth="1"/>
    <col min="10251" max="10495" width="8.85546875" style="5"/>
    <col min="10496" max="10496" width="45.85546875" style="5" customWidth="1"/>
    <col min="10497" max="10501" width="14.85546875" style="5" customWidth="1"/>
    <col min="10502" max="10502" width="8.5703125" style="5" bestFit="1" customWidth="1"/>
    <col min="10503" max="10506" width="8.85546875" style="5" bestFit="1" customWidth="1"/>
    <col min="10507" max="10751" width="8.85546875" style="5"/>
    <col min="10752" max="10752" width="45.85546875" style="5" customWidth="1"/>
    <col min="10753" max="10757" width="14.85546875" style="5" customWidth="1"/>
    <col min="10758" max="10758" width="8.5703125" style="5" bestFit="1" customWidth="1"/>
    <col min="10759" max="10762" width="8.85546875" style="5" bestFit="1" customWidth="1"/>
    <col min="10763" max="11007" width="8.85546875" style="5"/>
    <col min="11008" max="11008" width="45.85546875" style="5" customWidth="1"/>
    <col min="11009" max="11013" width="14.85546875" style="5" customWidth="1"/>
    <col min="11014" max="11014" width="8.5703125" style="5" bestFit="1" customWidth="1"/>
    <col min="11015" max="11018" width="8.85546875" style="5" bestFit="1" customWidth="1"/>
    <col min="11019" max="11263" width="8.85546875" style="5"/>
    <col min="11264" max="11264" width="45.85546875" style="5" customWidth="1"/>
    <col min="11265" max="11269" width="14.85546875" style="5" customWidth="1"/>
    <col min="11270" max="11270" width="8.5703125" style="5" bestFit="1" customWidth="1"/>
    <col min="11271" max="11274" width="8.85546875" style="5" bestFit="1" customWidth="1"/>
    <col min="11275" max="11519" width="8.85546875" style="5"/>
    <col min="11520" max="11520" width="45.85546875" style="5" customWidth="1"/>
    <col min="11521" max="11525" width="14.85546875" style="5" customWidth="1"/>
    <col min="11526" max="11526" width="8.5703125" style="5" bestFit="1" customWidth="1"/>
    <col min="11527" max="11530" width="8.85546875" style="5" bestFit="1" customWidth="1"/>
    <col min="11531" max="11775" width="8.85546875" style="5"/>
    <col min="11776" max="11776" width="45.85546875" style="5" customWidth="1"/>
    <col min="11777" max="11781" width="14.85546875" style="5" customWidth="1"/>
    <col min="11782" max="11782" width="8.5703125" style="5" bestFit="1" customWidth="1"/>
    <col min="11783" max="11786" width="8.85546875" style="5" bestFit="1" customWidth="1"/>
    <col min="11787" max="12031" width="8.85546875" style="5"/>
    <col min="12032" max="12032" width="45.85546875" style="5" customWidth="1"/>
    <col min="12033" max="12037" width="14.85546875" style="5" customWidth="1"/>
    <col min="12038" max="12038" width="8.5703125" style="5" bestFit="1" customWidth="1"/>
    <col min="12039" max="12042" width="8.85546875" style="5" bestFit="1" customWidth="1"/>
    <col min="12043" max="12287" width="8.85546875" style="5"/>
    <col min="12288" max="12288" width="45.85546875" style="5" customWidth="1"/>
    <col min="12289" max="12293" width="14.85546875" style="5" customWidth="1"/>
    <col min="12294" max="12294" width="8.5703125" style="5" bestFit="1" customWidth="1"/>
    <col min="12295" max="12298" width="8.85546875" style="5" bestFit="1" customWidth="1"/>
    <col min="12299" max="12543" width="8.85546875" style="5"/>
    <col min="12544" max="12544" width="45.85546875" style="5" customWidth="1"/>
    <col min="12545" max="12549" width="14.85546875" style="5" customWidth="1"/>
    <col min="12550" max="12550" width="8.5703125" style="5" bestFit="1" customWidth="1"/>
    <col min="12551" max="12554" width="8.85546875" style="5" bestFit="1" customWidth="1"/>
    <col min="12555" max="12799" width="8.85546875" style="5"/>
    <col min="12800" max="12800" width="45.85546875" style="5" customWidth="1"/>
    <col min="12801" max="12805" width="14.85546875" style="5" customWidth="1"/>
    <col min="12806" max="12806" width="8.5703125" style="5" bestFit="1" customWidth="1"/>
    <col min="12807" max="12810" width="8.85546875" style="5" bestFit="1" customWidth="1"/>
    <col min="12811" max="13055" width="8.85546875" style="5"/>
    <col min="13056" max="13056" width="45.85546875" style="5" customWidth="1"/>
    <col min="13057" max="13061" width="14.85546875" style="5" customWidth="1"/>
    <col min="13062" max="13062" width="8.5703125" style="5" bestFit="1" customWidth="1"/>
    <col min="13063" max="13066" width="8.85546875" style="5" bestFit="1" customWidth="1"/>
    <col min="13067" max="13311" width="8.85546875" style="5"/>
    <col min="13312" max="13312" width="45.85546875" style="5" customWidth="1"/>
    <col min="13313" max="13317" width="14.85546875" style="5" customWidth="1"/>
    <col min="13318" max="13318" width="8.5703125" style="5" bestFit="1" customWidth="1"/>
    <col min="13319" max="13322" width="8.85546875" style="5" bestFit="1" customWidth="1"/>
    <col min="13323" max="13567" width="8.85546875" style="5"/>
    <col min="13568" max="13568" width="45.85546875" style="5" customWidth="1"/>
    <col min="13569" max="13573" width="14.85546875" style="5" customWidth="1"/>
    <col min="13574" max="13574" width="8.5703125" style="5" bestFit="1" customWidth="1"/>
    <col min="13575" max="13578" width="8.85546875" style="5" bestFit="1" customWidth="1"/>
    <col min="13579" max="13823" width="8.85546875" style="5"/>
    <col min="13824" max="13824" width="45.85546875" style="5" customWidth="1"/>
    <col min="13825" max="13829" width="14.85546875" style="5" customWidth="1"/>
    <col min="13830" max="13830" width="8.5703125" style="5" bestFit="1" customWidth="1"/>
    <col min="13831" max="13834" width="8.85546875" style="5" bestFit="1" customWidth="1"/>
    <col min="13835" max="14079" width="8.85546875" style="5"/>
    <col min="14080" max="14080" width="45.85546875" style="5" customWidth="1"/>
    <col min="14081" max="14085" width="14.85546875" style="5" customWidth="1"/>
    <col min="14086" max="14086" width="8.5703125" style="5" bestFit="1" customWidth="1"/>
    <col min="14087" max="14090" width="8.85546875" style="5" bestFit="1" customWidth="1"/>
    <col min="14091" max="14335" width="8.85546875" style="5"/>
    <col min="14336" max="14336" width="45.85546875" style="5" customWidth="1"/>
    <col min="14337" max="14341" width="14.85546875" style="5" customWidth="1"/>
    <col min="14342" max="14342" width="8.5703125" style="5" bestFit="1" customWidth="1"/>
    <col min="14343" max="14346" width="8.85546875" style="5" bestFit="1" customWidth="1"/>
    <col min="14347" max="14591" width="8.85546875" style="5"/>
    <col min="14592" max="14592" width="45.85546875" style="5" customWidth="1"/>
    <col min="14593" max="14597" width="14.85546875" style="5" customWidth="1"/>
    <col min="14598" max="14598" width="8.5703125" style="5" bestFit="1" customWidth="1"/>
    <col min="14599" max="14602" width="8.85546875" style="5" bestFit="1" customWidth="1"/>
    <col min="14603" max="14847" width="8.85546875" style="5"/>
    <col min="14848" max="14848" width="45.85546875" style="5" customWidth="1"/>
    <col min="14849" max="14853" width="14.85546875" style="5" customWidth="1"/>
    <col min="14854" max="14854" width="8.5703125" style="5" bestFit="1" customWidth="1"/>
    <col min="14855" max="14858" width="8.85546875" style="5" bestFit="1" customWidth="1"/>
    <col min="14859" max="15103" width="8.85546875" style="5"/>
    <col min="15104" max="15104" width="45.85546875" style="5" customWidth="1"/>
    <col min="15105" max="15109" width="14.85546875" style="5" customWidth="1"/>
    <col min="15110" max="15110" width="8.5703125" style="5" bestFit="1" customWidth="1"/>
    <col min="15111" max="15114" width="8.85546875" style="5" bestFit="1" customWidth="1"/>
    <col min="15115" max="15359" width="8.85546875" style="5"/>
    <col min="15360" max="15360" width="45.85546875" style="5" customWidth="1"/>
    <col min="15361" max="15365" width="14.85546875" style="5" customWidth="1"/>
    <col min="15366" max="15366" width="8.5703125" style="5" bestFit="1" customWidth="1"/>
    <col min="15367" max="15370" width="8.85546875" style="5" bestFit="1" customWidth="1"/>
    <col min="15371" max="15615" width="8.85546875" style="5"/>
    <col min="15616" max="15616" width="45.85546875" style="5" customWidth="1"/>
    <col min="15617" max="15621" width="14.85546875" style="5" customWidth="1"/>
    <col min="15622" max="15622" width="8.5703125" style="5" bestFit="1" customWidth="1"/>
    <col min="15623" max="15626" width="8.85546875" style="5" bestFit="1" customWidth="1"/>
    <col min="15627" max="15871" width="8.85546875" style="5"/>
    <col min="15872" max="15872" width="45.85546875" style="5" customWidth="1"/>
    <col min="15873" max="15877" width="14.85546875" style="5" customWidth="1"/>
    <col min="15878" max="15878" width="8.5703125" style="5" bestFit="1" customWidth="1"/>
    <col min="15879" max="15882" width="8.85546875" style="5" bestFit="1" customWidth="1"/>
    <col min="15883" max="16127" width="8.85546875" style="5"/>
    <col min="16128" max="16128" width="45.85546875" style="5" customWidth="1"/>
    <col min="16129" max="16133" width="14.85546875" style="5" customWidth="1"/>
    <col min="16134" max="16134" width="8.5703125" style="5" bestFit="1" customWidth="1"/>
    <col min="16135" max="16138" width="8.85546875" style="5" bestFit="1" customWidth="1"/>
    <col min="16139" max="16384" width="8.85546875" style="5"/>
  </cols>
  <sheetData>
    <row r="1" spans="1:12" s="1" customFormat="1" x14ac:dyDescent="0.2">
      <c r="A1" s="52" t="s">
        <v>243</v>
      </c>
    </row>
    <row r="2" spans="1:12" s="1" customFormat="1" x14ac:dyDescent="0.2">
      <c r="A2" s="41" t="str">
        <f>'PepsiCo-IS'!A2</f>
        <v>(in USD million except per Share Data)</v>
      </c>
      <c r="B2" s="204"/>
      <c r="C2" s="204"/>
      <c r="D2" s="204"/>
      <c r="E2" s="204"/>
    </row>
    <row r="3" spans="1:12" ht="15" customHeight="1" x14ac:dyDescent="0.2">
      <c r="A3" s="53" t="s">
        <v>51</v>
      </c>
      <c r="B3" s="125">
        <f>'PepsiCo-IS'!E4</f>
        <v>43100</v>
      </c>
      <c r="C3" s="125">
        <f>'PepsiCo-IS'!F4</f>
        <v>43465</v>
      </c>
      <c r="D3" s="125">
        <f>'PepsiCo-IS'!G4</f>
        <v>43830</v>
      </c>
      <c r="E3" s="125">
        <f>'PepsiCo-IS'!H4</f>
        <v>43995</v>
      </c>
      <c r="F3" s="126">
        <f>'PepsiCo-IS'!J4</f>
        <v>44196</v>
      </c>
      <c r="G3" s="126">
        <f>'PepsiCo-IS'!K4</f>
        <v>44561</v>
      </c>
      <c r="H3" s="126">
        <f>'PepsiCo-IS'!L4</f>
        <v>44926</v>
      </c>
      <c r="I3" s="126">
        <f>'PepsiCo-IS'!M4</f>
        <v>45291</v>
      </c>
      <c r="J3" s="126">
        <f>'PepsiCo-IS'!N4</f>
        <v>45657</v>
      </c>
    </row>
    <row r="4" spans="1:12" x14ac:dyDescent="0.2">
      <c r="A4" s="32" t="s">
        <v>52</v>
      </c>
      <c r="B4" s="33"/>
      <c r="C4" s="33"/>
      <c r="D4" s="33"/>
      <c r="E4" s="33"/>
      <c r="F4" s="107"/>
      <c r="G4" s="107"/>
      <c r="H4" s="107"/>
      <c r="I4" s="107"/>
      <c r="J4" s="107"/>
    </row>
    <row r="5" spans="1:12" x14ac:dyDescent="0.2">
      <c r="A5" s="33" t="s">
        <v>53</v>
      </c>
      <c r="B5" s="96">
        <v>10610</v>
      </c>
      <c r="C5" s="96">
        <v>8721</v>
      </c>
      <c r="D5" s="96">
        <v>5509</v>
      </c>
      <c r="E5" s="96">
        <v>8927</v>
      </c>
      <c r="F5" s="134">
        <f>'PepsiCo-CFS'!B35</f>
        <v>7824.555590672453</v>
      </c>
      <c r="G5" s="134">
        <f>'PepsiCo-CFS'!C35</f>
        <v>8732.3285483137297</v>
      </c>
      <c r="H5" s="134">
        <f>'PepsiCo-CFS'!D35</f>
        <v>7693.8441157186389</v>
      </c>
      <c r="I5" s="134">
        <f>'PepsiCo-CFS'!E35</f>
        <v>8295.0317408816045</v>
      </c>
      <c r="J5" s="134">
        <f>'PepsiCo-CFS'!F35</f>
        <v>8393.0707451590042</v>
      </c>
      <c r="K5" s="199"/>
    </row>
    <row r="6" spans="1:12" x14ac:dyDescent="0.2">
      <c r="A6" s="33" t="s">
        <v>54</v>
      </c>
      <c r="B6" s="96">
        <v>8900</v>
      </c>
      <c r="C6" s="96">
        <v>272</v>
      </c>
      <c r="D6" s="96">
        <v>229</v>
      </c>
      <c r="E6" s="96">
        <v>196</v>
      </c>
      <c r="F6" s="121">
        <f>E6</f>
        <v>196</v>
      </c>
      <c r="G6" s="121">
        <f>F6</f>
        <v>196</v>
      </c>
      <c r="H6" s="121">
        <f t="shared" ref="H6:J6" si="0">G6</f>
        <v>196</v>
      </c>
      <c r="I6" s="121">
        <f t="shared" si="0"/>
        <v>196</v>
      </c>
      <c r="J6" s="121">
        <f t="shared" si="0"/>
        <v>196</v>
      </c>
      <c r="K6" s="257"/>
    </row>
    <row r="7" spans="1:12" x14ac:dyDescent="0.2">
      <c r="A7" s="33" t="s">
        <v>100</v>
      </c>
      <c r="B7" s="34">
        <v>0</v>
      </c>
      <c r="C7" s="34">
        <v>1997</v>
      </c>
      <c r="D7" s="34">
        <v>0</v>
      </c>
      <c r="E7" s="34">
        <v>0</v>
      </c>
      <c r="F7" s="121">
        <v>0</v>
      </c>
      <c r="G7" s="121">
        <v>0</v>
      </c>
      <c r="H7" s="121">
        <v>0</v>
      </c>
      <c r="I7" s="121">
        <v>0</v>
      </c>
      <c r="J7" s="121">
        <v>0</v>
      </c>
      <c r="K7" s="257"/>
    </row>
    <row r="8" spans="1:12" x14ac:dyDescent="0.2">
      <c r="A8" s="33" t="s">
        <v>119</v>
      </c>
      <c r="B8" s="34">
        <v>7024</v>
      </c>
      <c r="C8" s="34">
        <v>7142</v>
      </c>
      <c r="D8" s="34">
        <v>7822</v>
      </c>
      <c r="E8" s="34">
        <v>8780</v>
      </c>
      <c r="F8" s="109">
        <f>F76</f>
        <v>7751.2007736437263</v>
      </c>
      <c r="G8" s="109">
        <f t="shared" ref="G8:J8" si="1">G76</f>
        <v>8063.5694133176275</v>
      </c>
      <c r="H8" s="109">
        <f t="shared" si="1"/>
        <v>8393.1284304461769</v>
      </c>
      <c r="I8" s="109">
        <f t="shared" si="1"/>
        <v>8740.9589042224688</v>
      </c>
      <c r="J8" s="109">
        <f t="shared" si="1"/>
        <v>9108.2152993022537</v>
      </c>
    </row>
    <row r="9" spans="1:12" x14ac:dyDescent="0.2">
      <c r="A9" s="33" t="s">
        <v>101</v>
      </c>
      <c r="B9" s="34">
        <v>2947</v>
      </c>
      <c r="C9" s="34">
        <v>3128</v>
      </c>
      <c r="D9" s="34">
        <v>3338</v>
      </c>
      <c r="E9" s="34">
        <v>4314</v>
      </c>
      <c r="F9" s="109">
        <f>F78</f>
        <v>3233.8369247302521</v>
      </c>
      <c r="G9" s="109">
        <f t="shared" ref="G9:J9" si="2">G78</f>
        <v>3430.3254459216637</v>
      </c>
      <c r="H9" s="109">
        <f t="shared" si="2"/>
        <v>3570.523244742853</v>
      </c>
      <c r="I9" s="109">
        <f t="shared" si="2"/>
        <v>3718.493909333547</v>
      </c>
      <c r="J9" s="109">
        <f t="shared" si="2"/>
        <v>3874.7285608439524</v>
      </c>
    </row>
    <row r="10" spans="1:12" x14ac:dyDescent="0.2">
      <c r="A10" s="33" t="s">
        <v>102</v>
      </c>
      <c r="B10" s="34">
        <v>1546</v>
      </c>
      <c r="C10" s="34">
        <v>633</v>
      </c>
      <c r="D10" s="34">
        <v>747</v>
      </c>
      <c r="E10" s="34">
        <v>972</v>
      </c>
      <c r="F10" s="127">
        <f>F80</f>
        <v>1039.2409757417452</v>
      </c>
      <c r="G10" s="127">
        <f t="shared" ref="G10:J10" si="3">G80</f>
        <v>1081.1217500070238</v>
      </c>
      <c r="H10" s="127">
        <f t="shared" si="3"/>
        <v>1125.3073213174373</v>
      </c>
      <c r="I10" s="127">
        <f t="shared" si="3"/>
        <v>1171.9426351889499</v>
      </c>
      <c r="J10" s="127">
        <f t="shared" si="3"/>
        <v>1221.1824762814281</v>
      </c>
    </row>
    <row r="11" spans="1:12" x14ac:dyDescent="0.2">
      <c r="A11" s="32" t="s">
        <v>103</v>
      </c>
      <c r="B11" s="35">
        <f>SUM(B5:B10)</f>
        <v>31027</v>
      </c>
      <c r="C11" s="35">
        <f>SUM(C5:C10)</f>
        <v>21893</v>
      </c>
      <c r="D11" s="35">
        <f>SUM(D5:D10)</f>
        <v>17645</v>
      </c>
      <c r="E11" s="35">
        <f>SUM(E5:E10)</f>
        <v>23189</v>
      </c>
      <c r="F11" s="128">
        <f>SUM(F5:F10)</f>
        <v>20044.834264788176</v>
      </c>
      <c r="G11" s="128">
        <f t="shared" ref="G11:J11" si="4">SUM(G5:G10)</f>
        <v>21503.345157560045</v>
      </c>
      <c r="H11" s="128">
        <f t="shared" si="4"/>
        <v>20978.803112225105</v>
      </c>
      <c r="I11" s="128">
        <f t="shared" si="4"/>
        <v>22122.427189626571</v>
      </c>
      <c r="J11" s="128">
        <f t="shared" si="4"/>
        <v>22793.197081586641</v>
      </c>
    </row>
    <row r="12" spans="1:12" x14ac:dyDescent="0.2">
      <c r="A12" s="33"/>
      <c r="B12" s="36"/>
      <c r="C12" s="36"/>
      <c r="D12" s="36"/>
      <c r="E12" s="36"/>
      <c r="F12" s="107"/>
      <c r="G12" s="107"/>
      <c r="H12" s="121"/>
      <c r="I12" s="107"/>
      <c r="J12" s="107"/>
      <c r="L12" s="37"/>
    </row>
    <row r="13" spans="1:12" x14ac:dyDescent="0.2">
      <c r="A13" s="33" t="s">
        <v>104</v>
      </c>
      <c r="B13" s="96">
        <v>17240</v>
      </c>
      <c r="C13" s="96">
        <v>17589</v>
      </c>
      <c r="D13" s="96">
        <v>19305</v>
      </c>
      <c r="E13" s="96">
        <v>19187</v>
      </c>
      <c r="F13" s="121">
        <f>'Fixed Assets Schedule'!G9</f>
        <v>20303.374651814494</v>
      </c>
      <c r="G13" s="121">
        <f>'Fixed Assets Schedule'!H9</f>
        <v>19839.788445559934</v>
      </c>
      <c r="H13" s="121">
        <f>'Fixed Assets Schedule'!I9</f>
        <v>20650.642900332583</v>
      </c>
      <c r="I13" s="121">
        <f>'Fixed Assets Schedule'!J9</f>
        <v>21506.452860031466</v>
      </c>
      <c r="J13" s="121">
        <f>'Fixed Assets Schedule'!K9</f>
        <v>22410.058795589983</v>
      </c>
      <c r="K13" s="199"/>
      <c r="L13" s="37"/>
    </row>
    <row r="14" spans="1:12" x14ac:dyDescent="0.2">
      <c r="A14" s="33" t="s">
        <v>105</v>
      </c>
      <c r="B14" s="96">
        <v>1268</v>
      </c>
      <c r="C14" s="96">
        <v>1644</v>
      </c>
      <c r="D14" s="96">
        <v>1433</v>
      </c>
      <c r="E14" s="96">
        <v>1465</v>
      </c>
      <c r="F14" s="121">
        <f>'Fixed Assets Schedule'!G28</f>
        <v>1429.6741927033688</v>
      </c>
      <c r="G14" s="121">
        <f>'Fixed Assets Schedule'!H28</f>
        <v>1360.7262131424052</v>
      </c>
      <c r="H14" s="121">
        <f>'Fixed Assets Schedule'!I28</f>
        <v>1295.1033435329264</v>
      </c>
      <c r="I14" s="121">
        <f>'Fixed Assets Schedule'!J28</f>
        <v>1232.645225931743</v>
      </c>
      <c r="J14" s="121">
        <f>'Fixed Assets Schedule'!K28</f>
        <v>1173.1992358752555</v>
      </c>
      <c r="K14" s="199"/>
    </row>
    <row r="15" spans="1:12" x14ac:dyDescent="0.2">
      <c r="A15" s="33" t="s">
        <v>55</v>
      </c>
      <c r="B15" s="96">
        <v>14744</v>
      </c>
      <c r="C15" s="96">
        <v>14808</v>
      </c>
      <c r="D15" s="96">
        <v>15501</v>
      </c>
      <c r="E15" s="96">
        <v>17845</v>
      </c>
      <c r="F15" s="121">
        <f>E15</f>
        <v>17845</v>
      </c>
      <c r="G15" s="121">
        <f t="shared" ref="G15:J15" si="5">F15</f>
        <v>17845</v>
      </c>
      <c r="H15" s="121">
        <f t="shared" si="5"/>
        <v>17845</v>
      </c>
      <c r="I15" s="121">
        <f t="shared" si="5"/>
        <v>17845</v>
      </c>
      <c r="J15" s="121">
        <f t="shared" si="5"/>
        <v>17845</v>
      </c>
      <c r="K15" s="257"/>
    </row>
    <row r="16" spans="1:12" x14ac:dyDescent="0.2">
      <c r="A16" s="33" t="s">
        <v>106</v>
      </c>
      <c r="B16" s="96">
        <v>12570</v>
      </c>
      <c r="C16" s="96">
        <v>14181</v>
      </c>
      <c r="D16" s="96">
        <v>14610</v>
      </c>
      <c r="E16" s="96">
        <v>17530</v>
      </c>
      <c r="F16" s="121">
        <f>E16</f>
        <v>17530</v>
      </c>
      <c r="G16" s="121">
        <f t="shared" ref="G16:J16" si="6">F16</f>
        <v>17530</v>
      </c>
      <c r="H16" s="121">
        <f t="shared" si="6"/>
        <v>17530</v>
      </c>
      <c r="I16" s="121">
        <f t="shared" si="6"/>
        <v>17530</v>
      </c>
      <c r="J16" s="121">
        <f t="shared" si="6"/>
        <v>17530</v>
      </c>
      <c r="K16" s="257"/>
    </row>
    <row r="17" spans="1:11" x14ac:dyDescent="0.2">
      <c r="A17" s="33" t="s">
        <v>107</v>
      </c>
      <c r="B17" s="96">
        <v>2042</v>
      </c>
      <c r="C17" s="96">
        <v>2409</v>
      </c>
      <c r="D17" s="96">
        <v>2683</v>
      </c>
      <c r="E17" s="96">
        <v>2715</v>
      </c>
      <c r="F17" s="121">
        <f>E17</f>
        <v>2715</v>
      </c>
      <c r="G17" s="121">
        <f t="shared" ref="G17:J17" si="7">F17</f>
        <v>2715</v>
      </c>
      <c r="H17" s="121">
        <f t="shared" si="7"/>
        <v>2715</v>
      </c>
      <c r="I17" s="121">
        <f t="shared" si="7"/>
        <v>2715</v>
      </c>
      <c r="J17" s="121">
        <f t="shared" si="7"/>
        <v>2715</v>
      </c>
      <c r="K17" s="257"/>
    </row>
    <row r="18" spans="1:11" x14ac:dyDescent="0.2">
      <c r="A18" s="33" t="s">
        <v>108</v>
      </c>
      <c r="B18" s="96">
        <v>0</v>
      </c>
      <c r="C18" s="96">
        <v>4364</v>
      </c>
      <c r="D18" s="96">
        <v>4359</v>
      </c>
      <c r="E18" s="96">
        <v>4351</v>
      </c>
      <c r="F18" s="121">
        <f>E18</f>
        <v>4351</v>
      </c>
      <c r="G18" s="121">
        <f t="shared" ref="G18:J18" si="8">F18</f>
        <v>4351</v>
      </c>
      <c r="H18" s="121">
        <f t="shared" si="8"/>
        <v>4351</v>
      </c>
      <c r="I18" s="121">
        <f t="shared" si="8"/>
        <v>4351</v>
      </c>
      <c r="J18" s="121">
        <f t="shared" si="8"/>
        <v>4351</v>
      </c>
      <c r="K18" s="257"/>
    </row>
    <row r="19" spans="1:11" ht="15.75" thickBot="1" x14ac:dyDescent="0.25">
      <c r="A19" s="33" t="s">
        <v>109</v>
      </c>
      <c r="B19" s="101">
        <v>913</v>
      </c>
      <c r="C19" s="101">
        <v>760</v>
      </c>
      <c r="D19" s="101">
        <v>3011</v>
      </c>
      <c r="E19" s="101">
        <v>3243</v>
      </c>
      <c r="F19" s="121">
        <f>E19</f>
        <v>3243</v>
      </c>
      <c r="G19" s="121">
        <f t="shared" ref="G19:J19" si="9">F19</f>
        <v>3243</v>
      </c>
      <c r="H19" s="121">
        <f t="shared" si="9"/>
        <v>3243</v>
      </c>
      <c r="I19" s="121">
        <f t="shared" si="9"/>
        <v>3243</v>
      </c>
      <c r="J19" s="121">
        <f t="shared" si="9"/>
        <v>3243</v>
      </c>
      <c r="K19" s="257"/>
    </row>
    <row r="20" spans="1:11" ht="13.5" thickBot="1" x14ac:dyDescent="0.25">
      <c r="A20" s="32" t="s">
        <v>56</v>
      </c>
      <c r="B20" s="99">
        <f>SUM(B11:B19)</f>
        <v>79804</v>
      </c>
      <c r="C20" s="99">
        <f>SUM(C11:C19)</f>
        <v>77648</v>
      </c>
      <c r="D20" s="99">
        <f>SUM(D11:D19)</f>
        <v>78547</v>
      </c>
      <c r="E20" s="99">
        <f>SUM(E11:E19)</f>
        <v>89525</v>
      </c>
      <c r="F20" s="299">
        <f>SUM(F13:F19,F11)</f>
        <v>87461.883109306043</v>
      </c>
      <c r="G20" s="300">
        <f t="shared" ref="G20:J20" si="10">SUM(G13:G19,G11)</f>
        <v>88387.859816262382</v>
      </c>
      <c r="H20" s="300">
        <f t="shared" si="10"/>
        <v>88608.549356090603</v>
      </c>
      <c r="I20" s="300">
        <f t="shared" si="10"/>
        <v>90545.525275589782</v>
      </c>
      <c r="J20" s="301">
        <f t="shared" si="10"/>
        <v>92060.455113051867</v>
      </c>
    </row>
    <row r="21" spans="1:11" x14ac:dyDescent="0.2">
      <c r="A21" s="33"/>
      <c r="B21" s="36"/>
      <c r="C21" s="65"/>
      <c r="D21" s="36"/>
      <c r="E21" s="36"/>
      <c r="F21" s="107"/>
      <c r="G21" s="107"/>
      <c r="H21" s="107"/>
      <c r="I21" s="107"/>
      <c r="J21" s="107"/>
    </row>
    <row r="22" spans="1:11" x14ac:dyDescent="0.2">
      <c r="A22" s="32" t="s">
        <v>57</v>
      </c>
      <c r="B22" s="36"/>
      <c r="C22" s="65"/>
      <c r="D22" s="36"/>
      <c r="E22" s="36"/>
      <c r="F22" s="107"/>
      <c r="G22" s="107"/>
      <c r="H22" s="107"/>
      <c r="I22" s="107"/>
      <c r="J22" s="107"/>
    </row>
    <row r="23" spans="1:11" x14ac:dyDescent="0.2">
      <c r="A23" s="33" t="s">
        <v>110</v>
      </c>
      <c r="B23" s="34">
        <v>5485</v>
      </c>
      <c r="C23" s="34">
        <v>4026</v>
      </c>
      <c r="D23" s="34">
        <v>2920</v>
      </c>
      <c r="E23" s="34">
        <v>6607</v>
      </c>
      <c r="F23" s="134">
        <f>'Debt Schedule'!B72</f>
        <v>3276</v>
      </c>
      <c r="G23" s="134">
        <f>'Debt Schedule'!C72</f>
        <v>3831</v>
      </c>
      <c r="H23" s="134">
        <f>'Debt Schedule'!D72</f>
        <v>2272</v>
      </c>
      <c r="I23" s="134">
        <f>'Debt Schedule'!E72</f>
        <v>2839</v>
      </c>
      <c r="J23" s="134">
        <f>'Debt Schedule'!F72</f>
        <v>20410</v>
      </c>
      <c r="K23" s="199"/>
    </row>
    <row r="24" spans="1:11" x14ac:dyDescent="0.2">
      <c r="A24" s="33" t="s">
        <v>111</v>
      </c>
      <c r="B24" s="34">
        <v>15017</v>
      </c>
      <c r="C24" s="34">
        <v>18112</v>
      </c>
      <c r="D24" s="34">
        <v>17541</v>
      </c>
      <c r="E24" s="34">
        <v>17220</v>
      </c>
      <c r="F24" s="121">
        <f>F65</f>
        <v>18096.389878158625</v>
      </c>
      <c r="G24" s="121">
        <f t="shared" ref="G24:J24" si="11">G65</f>
        <v>19021.791144203497</v>
      </c>
      <c r="H24" s="121">
        <f t="shared" si="11"/>
        <v>19682.080202002682</v>
      </c>
      <c r="I24" s="121">
        <f t="shared" si="11"/>
        <v>20378.977097146675</v>
      </c>
      <c r="J24" s="121">
        <f t="shared" si="11"/>
        <v>21114.794861111448</v>
      </c>
    </row>
    <row r="25" spans="1:11" x14ac:dyDescent="0.2">
      <c r="A25" s="32" t="s">
        <v>58</v>
      </c>
      <c r="B25" s="35">
        <f>SUM(B23:B24)</f>
        <v>20502</v>
      </c>
      <c r="C25" s="35">
        <f>SUM(C23:C24)</f>
        <v>22138</v>
      </c>
      <c r="D25" s="35">
        <f>SUM(D23:D24)</f>
        <v>20461</v>
      </c>
      <c r="E25" s="35">
        <f>SUM(E23:E24)</f>
        <v>23827</v>
      </c>
      <c r="F25" s="266">
        <f>SUM(F23:F24)</f>
        <v>21372.389878158625</v>
      </c>
      <c r="G25" s="266">
        <f t="shared" ref="G25:J25" si="12">SUM(G23:G24)</f>
        <v>22852.791144203497</v>
      </c>
      <c r="H25" s="266">
        <f t="shared" si="12"/>
        <v>21954.080202002682</v>
      </c>
      <c r="I25" s="266">
        <f t="shared" si="12"/>
        <v>23217.977097146675</v>
      </c>
      <c r="J25" s="266">
        <f t="shared" si="12"/>
        <v>41524.794861111448</v>
      </c>
    </row>
    <row r="26" spans="1:11" x14ac:dyDescent="0.2">
      <c r="A26" s="33"/>
      <c r="B26" s="36"/>
      <c r="C26" s="36"/>
      <c r="D26" s="36"/>
      <c r="E26" s="36"/>
      <c r="F26" s="107"/>
      <c r="G26" s="107"/>
      <c r="H26" s="107"/>
      <c r="I26" s="107"/>
      <c r="J26" s="107"/>
    </row>
    <row r="27" spans="1:11" x14ac:dyDescent="0.2">
      <c r="A27" s="33" t="s">
        <v>112</v>
      </c>
      <c r="B27" s="34">
        <v>33796</v>
      </c>
      <c r="C27" s="36">
        <v>28295</v>
      </c>
      <c r="D27" s="34">
        <v>29148</v>
      </c>
      <c r="E27" s="34">
        <v>38371</v>
      </c>
      <c r="F27" s="190">
        <f>'Debt Schedule'!B73</f>
        <v>36352</v>
      </c>
      <c r="G27" s="190">
        <f>'Debt Schedule'!C73</f>
        <v>32521</v>
      </c>
      <c r="H27" s="190">
        <f>'Debt Schedule'!D73</f>
        <v>30249</v>
      </c>
      <c r="I27" s="190">
        <f>'Debt Schedule'!E73</f>
        <v>27410</v>
      </c>
      <c r="J27" s="190">
        <f>'Debt Schedule'!F73</f>
        <v>7000</v>
      </c>
      <c r="K27" s="199"/>
    </row>
    <row r="28" spans="1:11" x14ac:dyDescent="0.2">
      <c r="A28" s="33" t="s">
        <v>108</v>
      </c>
      <c r="B28" s="34">
        <v>3242</v>
      </c>
      <c r="C28" s="34">
        <v>3499</v>
      </c>
      <c r="D28" s="34">
        <v>4091</v>
      </c>
      <c r="E28" s="34">
        <v>4203</v>
      </c>
      <c r="F28" s="121">
        <f>E28</f>
        <v>4203</v>
      </c>
      <c r="G28" s="121">
        <f t="shared" ref="G28:J28" si="13">F28</f>
        <v>4203</v>
      </c>
      <c r="H28" s="121">
        <f t="shared" si="13"/>
        <v>4203</v>
      </c>
      <c r="I28" s="121">
        <f t="shared" si="13"/>
        <v>4203</v>
      </c>
      <c r="J28" s="121">
        <f t="shared" si="13"/>
        <v>4203</v>
      </c>
      <c r="K28" s="257" t="s">
        <v>516</v>
      </c>
    </row>
    <row r="29" spans="1:11" x14ac:dyDescent="0.2">
      <c r="A29" s="33" t="s">
        <v>113</v>
      </c>
      <c r="B29" s="34">
        <v>11283</v>
      </c>
      <c r="C29" s="34">
        <v>9114</v>
      </c>
      <c r="D29" s="34">
        <v>9979</v>
      </c>
      <c r="E29" s="34">
        <v>10537</v>
      </c>
      <c r="F29" s="121">
        <f>E29</f>
        <v>10537</v>
      </c>
      <c r="G29" s="121">
        <f t="shared" ref="G29:J29" si="14">F29</f>
        <v>10537</v>
      </c>
      <c r="H29" s="121">
        <f t="shared" si="14"/>
        <v>10537</v>
      </c>
      <c r="I29" s="121">
        <f t="shared" si="14"/>
        <v>10537</v>
      </c>
      <c r="J29" s="121">
        <f t="shared" si="14"/>
        <v>10537</v>
      </c>
      <c r="K29" s="257" t="s">
        <v>516</v>
      </c>
    </row>
    <row r="30" spans="1:11" x14ac:dyDescent="0.2">
      <c r="A30" s="32" t="s">
        <v>59</v>
      </c>
      <c r="B30" s="35">
        <f>SUM(B25:B29)</f>
        <v>68823</v>
      </c>
      <c r="C30" s="35">
        <f>SUM(C25:C29)</f>
        <v>63046</v>
      </c>
      <c r="D30" s="35">
        <f>SUM(D25:D29)</f>
        <v>63679</v>
      </c>
      <c r="E30" s="35">
        <f>SUM(E25:E29)</f>
        <v>76938</v>
      </c>
      <c r="F30" s="266">
        <f>SUM(F27:F29,F25)</f>
        <v>72464.389878158632</v>
      </c>
      <c r="G30" s="266">
        <f t="shared" ref="G30:J30" si="15">SUM(G27:G29,G25)</f>
        <v>70113.791144203497</v>
      </c>
      <c r="H30" s="266">
        <f t="shared" si="15"/>
        <v>66943.080202002689</v>
      </c>
      <c r="I30" s="266">
        <f t="shared" si="15"/>
        <v>65367.977097146679</v>
      </c>
      <c r="J30" s="266">
        <f t="shared" si="15"/>
        <v>63264.794861111448</v>
      </c>
    </row>
    <row r="31" spans="1:11" x14ac:dyDescent="0.2">
      <c r="A31" s="33"/>
      <c r="B31" s="36"/>
      <c r="C31" s="65"/>
      <c r="D31" s="36"/>
      <c r="E31" s="36"/>
      <c r="F31" s="107"/>
      <c r="G31" s="107"/>
      <c r="H31" s="107"/>
      <c r="I31" s="107"/>
      <c r="J31" s="107"/>
    </row>
    <row r="32" spans="1:11" x14ac:dyDescent="0.2">
      <c r="A32" s="32" t="s">
        <v>133</v>
      </c>
      <c r="B32" s="84">
        <v>41</v>
      </c>
      <c r="C32" s="65"/>
      <c r="D32" s="36"/>
      <c r="E32" s="36"/>
      <c r="F32" s="107"/>
      <c r="G32" s="107"/>
      <c r="H32" s="107"/>
      <c r="I32" s="107"/>
      <c r="J32" s="107"/>
    </row>
    <row r="33" spans="1:11" x14ac:dyDescent="0.2">
      <c r="A33" s="32" t="s">
        <v>134</v>
      </c>
      <c r="B33" s="84">
        <v>-197</v>
      </c>
      <c r="C33" s="65"/>
      <c r="D33" s="36"/>
      <c r="E33" s="36"/>
      <c r="F33" s="107"/>
      <c r="G33" s="107"/>
      <c r="H33" s="107"/>
      <c r="I33" s="107"/>
      <c r="J33" s="107"/>
    </row>
    <row r="34" spans="1:11" x14ac:dyDescent="0.2">
      <c r="A34" s="33"/>
      <c r="B34" s="36"/>
      <c r="C34" s="65"/>
      <c r="D34" s="36"/>
      <c r="E34" s="36"/>
      <c r="F34" s="107"/>
      <c r="G34" s="107"/>
      <c r="H34" s="107"/>
      <c r="I34" s="107"/>
      <c r="J34" s="107"/>
    </row>
    <row r="35" spans="1:11" x14ac:dyDescent="0.2">
      <c r="A35" s="33" t="s">
        <v>60</v>
      </c>
      <c r="B35" s="34">
        <v>24</v>
      </c>
      <c r="C35" s="34">
        <v>23</v>
      </c>
      <c r="D35" s="34">
        <v>23</v>
      </c>
      <c r="E35" s="34">
        <v>23</v>
      </c>
      <c r="F35" s="109">
        <f>E35</f>
        <v>23</v>
      </c>
      <c r="G35" s="109">
        <f t="shared" ref="G35:J35" si="16">F35</f>
        <v>23</v>
      </c>
      <c r="H35" s="109">
        <f t="shared" si="16"/>
        <v>23</v>
      </c>
      <c r="I35" s="109">
        <f t="shared" si="16"/>
        <v>23</v>
      </c>
      <c r="J35" s="109">
        <f t="shared" si="16"/>
        <v>23</v>
      </c>
      <c r="K35" s="257" t="s">
        <v>517</v>
      </c>
    </row>
    <row r="36" spans="1:11" x14ac:dyDescent="0.2">
      <c r="A36" s="33" t="s">
        <v>114</v>
      </c>
      <c r="B36" s="34">
        <v>3996</v>
      </c>
      <c r="C36" s="34">
        <v>3953</v>
      </c>
      <c r="D36" s="34">
        <v>3886</v>
      </c>
      <c r="E36" s="34">
        <v>3772</v>
      </c>
      <c r="F36" s="109">
        <f>E36+'PepsiCo-CFS'!B9</f>
        <v>3904.1863493872261</v>
      </c>
      <c r="G36" s="109">
        <f>F36+'PepsiCo-CFS'!C9</f>
        <v>4182.0954417891398</v>
      </c>
      <c r="H36" s="109">
        <f>G36+'PepsiCo-CFS'!D9</f>
        <v>4471.3016849686082</v>
      </c>
      <c r="I36" s="109">
        <f>H36+'PepsiCo-CFS'!E9</f>
        <v>4772.4348415354689</v>
      </c>
      <c r="J36" s="109">
        <f>I36+'PepsiCo-CFS'!F9</f>
        <v>5086.1642875726193</v>
      </c>
      <c r="K36" s="5" t="s">
        <v>517</v>
      </c>
    </row>
    <row r="37" spans="1:11" x14ac:dyDescent="0.2">
      <c r="A37" s="33" t="s">
        <v>61</v>
      </c>
      <c r="B37" s="34">
        <v>52839</v>
      </c>
      <c r="C37" s="34">
        <v>59947</v>
      </c>
      <c r="D37" s="34">
        <v>61946</v>
      </c>
      <c r="E37" s="34">
        <v>62145</v>
      </c>
      <c r="F37" s="121">
        <f>E37+'PepsiCo-IS'!I46+'PepsiCo-CFS'!B24</f>
        <v>64389.262337739201</v>
      </c>
      <c r="G37" s="121">
        <f>F37+'PepsiCo-IS'!K46+'PepsiCo-CFS'!C24</f>
        <v>67335.473156925756</v>
      </c>
      <c r="H37" s="121">
        <f>G37+'PepsiCo-IS'!L46+'PepsiCo-CFS'!D24</f>
        <v>70383.400857938424</v>
      </c>
      <c r="I37" s="121">
        <f>H37+'PepsiCo-IS'!M46+'PepsiCo-CFS'!E24</f>
        <v>73538.177800762453</v>
      </c>
      <c r="J37" s="121">
        <f>I37+'PepsiCo-IS'!N46+'PepsiCo-CFS'!F24</f>
        <v>76784.757018418342</v>
      </c>
      <c r="K37" s="302"/>
    </row>
    <row r="38" spans="1:11" x14ac:dyDescent="0.2">
      <c r="A38" s="33" t="s">
        <v>115</v>
      </c>
      <c r="B38" s="34">
        <v>-13057</v>
      </c>
      <c r="C38" s="34">
        <v>-15119</v>
      </c>
      <c r="D38" s="34">
        <v>-14300</v>
      </c>
      <c r="E38" s="34">
        <v>-15778</v>
      </c>
      <c r="F38" s="109">
        <f>E38</f>
        <v>-15778</v>
      </c>
      <c r="G38" s="109">
        <f t="shared" ref="G38:J39" si="17">F38</f>
        <v>-15778</v>
      </c>
      <c r="H38" s="109">
        <f t="shared" si="17"/>
        <v>-15778</v>
      </c>
      <c r="I38" s="109">
        <f t="shared" si="17"/>
        <v>-15778</v>
      </c>
      <c r="J38" s="109">
        <f t="shared" si="17"/>
        <v>-15778</v>
      </c>
      <c r="K38" s="257" t="s">
        <v>517</v>
      </c>
    </row>
    <row r="39" spans="1:11" x14ac:dyDescent="0.2">
      <c r="A39" s="33" t="s">
        <v>116</v>
      </c>
      <c r="B39" s="34">
        <v>-32757</v>
      </c>
      <c r="C39" s="34">
        <v>-34286</v>
      </c>
      <c r="D39" s="34">
        <v>-36769</v>
      </c>
      <c r="E39" s="34">
        <v>-37671</v>
      </c>
      <c r="F39" s="109">
        <f>E39</f>
        <v>-37671</v>
      </c>
      <c r="G39" s="109">
        <f t="shared" si="17"/>
        <v>-37671</v>
      </c>
      <c r="H39" s="109">
        <f t="shared" si="17"/>
        <v>-37671</v>
      </c>
      <c r="I39" s="109">
        <f t="shared" si="17"/>
        <v>-37671</v>
      </c>
      <c r="J39" s="109">
        <f t="shared" si="17"/>
        <v>-37671</v>
      </c>
      <c r="K39" s="257" t="s">
        <v>517</v>
      </c>
    </row>
    <row r="40" spans="1:11" x14ac:dyDescent="0.2">
      <c r="A40" s="32" t="s">
        <v>118</v>
      </c>
      <c r="B40" s="35">
        <f>SUM(B35:B39)</f>
        <v>11045</v>
      </c>
      <c r="C40" s="35">
        <f>SUM(C35:C39)</f>
        <v>14518</v>
      </c>
      <c r="D40" s="35">
        <f>SUM(D35:D39)</f>
        <v>14786</v>
      </c>
      <c r="E40" s="35">
        <f>SUM(E35:E39)</f>
        <v>12491</v>
      </c>
      <c r="F40" s="266">
        <f>SUM(F35:F39)</f>
        <v>14867.448687126423</v>
      </c>
      <c r="G40" s="266">
        <f t="shared" ref="G40:J40" si="18">SUM(G35:G39)</f>
        <v>18091.56859871489</v>
      </c>
      <c r="H40" s="266">
        <f t="shared" si="18"/>
        <v>21428.702542907035</v>
      </c>
      <c r="I40" s="266">
        <f t="shared" si="18"/>
        <v>24884.612642297929</v>
      </c>
      <c r="J40" s="266">
        <f t="shared" si="18"/>
        <v>28444.921305990967</v>
      </c>
    </row>
    <row r="41" spans="1:11" x14ac:dyDescent="0.2">
      <c r="A41" s="33" t="s">
        <v>117</v>
      </c>
      <c r="B41" s="97">
        <v>92</v>
      </c>
      <c r="C41" s="97">
        <v>84</v>
      </c>
      <c r="D41" s="97">
        <v>82</v>
      </c>
      <c r="E41" s="97">
        <v>96</v>
      </c>
      <c r="F41" s="127">
        <f>E41+'PepsiCo-IS'!I44</f>
        <v>130.04454402099179</v>
      </c>
      <c r="G41" s="127">
        <f>F41+'PepsiCo-IS'!K44</f>
        <v>182.50007334400107</v>
      </c>
      <c r="H41" s="127">
        <f>G41+'PepsiCo-IS'!L44</f>
        <v>236.76661118090496</v>
      </c>
      <c r="I41" s="127">
        <f>H41+'PepsiCo-IS'!M44</f>
        <v>292.93553614519169</v>
      </c>
      <c r="J41" s="127">
        <f>I41+'PepsiCo-IS'!N44</f>
        <v>350.73894594946427</v>
      </c>
    </row>
    <row r="42" spans="1:11" x14ac:dyDescent="0.2">
      <c r="A42" s="32" t="s">
        <v>62</v>
      </c>
      <c r="B42" s="98">
        <f>B40+B41</f>
        <v>11137</v>
      </c>
      <c r="C42" s="98">
        <f>C40+C41</f>
        <v>14602</v>
      </c>
      <c r="D42" s="98">
        <f>D40+D41</f>
        <v>14868</v>
      </c>
      <c r="E42" s="98">
        <f>E40+E41</f>
        <v>12587</v>
      </c>
      <c r="F42" s="124">
        <f>SUM(F40:F41)</f>
        <v>14997.493231147415</v>
      </c>
      <c r="G42" s="124">
        <f t="shared" ref="G42:J42" si="19">SUM(G40:G41)</f>
        <v>18274.068672058893</v>
      </c>
      <c r="H42" s="124">
        <f t="shared" si="19"/>
        <v>21665.469154087939</v>
      </c>
      <c r="I42" s="124">
        <f t="shared" si="19"/>
        <v>25177.548178443121</v>
      </c>
      <c r="J42" s="124">
        <f t="shared" si="19"/>
        <v>28795.66025194043</v>
      </c>
    </row>
    <row r="43" spans="1:11" x14ac:dyDescent="0.2">
      <c r="A43" s="33"/>
      <c r="B43" s="36"/>
      <c r="C43" s="36"/>
      <c r="D43" s="36"/>
      <c r="E43" s="36"/>
      <c r="F43" s="267"/>
      <c r="G43" s="267"/>
      <c r="H43" s="267"/>
      <c r="I43" s="267"/>
      <c r="J43" s="267"/>
    </row>
    <row r="44" spans="1:11" ht="13.5" thickBot="1" x14ac:dyDescent="0.25">
      <c r="A44" s="32" t="s">
        <v>63</v>
      </c>
      <c r="B44" s="102">
        <f>B30+B32+B33+B42</f>
        <v>79804</v>
      </c>
      <c r="C44" s="102">
        <f>C30+C42</f>
        <v>77648</v>
      </c>
      <c r="D44" s="102">
        <f>D30+D42</f>
        <v>78547</v>
      </c>
      <c r="E44" s="102">
        <f>E30+E42</f>
        <v>89525</v>
      </c>
      <c r="F44" s="160">
        <f>F42+F30</f>
        <v>87461.883109306043</v>
      </c>
      <c r="G44" s="160">
        <f t="shared" ref="G44:J44" si="20">G42+G30</f>
        <v>88387.859816262382</v>
      </c>
      <c r="H44" s="160">
        <f t="shared" si="20"/>
        <v>88608.549356090633</v>
      </c>
      <c r="I44" s="160">
        <f t="shared" si="20"/>
        <v>90545.525275589796</v>
      </c>
      <c r="J44" s="160">
        <f t="shared" si="20"/>
        <v>92060.455113051881</v>
      </c>
    </row>
    <row r="45" spans="1:11" ht="13.5" thickTop="1" x14ac:dyDescent="0.2">
      <c r="A45" s="199" t="s">
        <v>324</v>
      </c>
      <c r="B45" s="255">
        <f>B20-B44</f>
        <v>0</v>
      </c>
      <c r="C45" s="255">
        <f>C20-C44</f>
        <v>0</v>
      </c>
      <c r="D45" s="255">
        <f>D20-D44</f>
        <v>0</v>
      </c>
      <c r="E45" s="255">
        <f>E20-E44</f>
        <v>0</v>
      </c>
      <c r="F45" s="256">
        <f>F20-F44</f>
        <v>0</v>
      </c>
      <c r="G45" s="256">
        <f t="shared" ref="G45:J45" si="21">G20-G44</f>
        <v>0</v>
      </c>
      <c r="H45" s="256">
        <f t="shared" si="21"/>
        <v>0</v>
      </c>
      <c r="I45" s="256">
        <f t="shared" si="21"/>
        <v>0</v>
      </c>
      <c r="J45" s="256">
        <f t="shared" si="21"/>
        <v>0</v>
      </c>
    </row>
    <row r="46" spans="1:11" s="199" customFormat="1" x14ac:dyDescent="0.2">
      <c r="A46" s="199" t="s">
        <v>302</v>
      </c>
      <c r="B46" s="199" t="s">
        <v>327</v>
      </c>
      <c r="C46" s="199" t="s">
        <v>326</v>
      </c>
      <c r="D46" s="199" t="s">
        <v>326</v>
      </c>
      <c r="E46" s="199" t="s">
        <v>318</v>
      </c>
      <c r="F46" s="388"/>
      <c r="G46" s="388"/>
      <c r="H46" s="388"/>
      <c r="I46" s="388"/>
      <c r="J46" s="388"/>
    </row>
    <row r="47" spans="1:11" collapsed="1" x14ac:dyDescent="0.2">
      <c r="F47" s="107"/>
      <c r="G47" s="107"/>
      <c r="H47" s="107"/>
      <c r="I47" s="107"/>
      <c r="J47" s="107"/>
    </row>
    <row r="48" spans="1:11" ht="15" hidden="1" outlineLevel="1" x14ac:dyDescent="0.2">
      <c r="A48" s="32" t="s">
        <v>109</v>
      </c>
      <c r="B48" s="103">
        <f>B19</f>
        <v>913</v>
      </c>
      <c r="C48" s="103">
        <f>C19</f>
        <v>760</v>
      </c>
      <c r="D48" s="103">
        <f>D19</f>
        <v>3011</v>
      </c>
      <c r="E48" s="103">
        <f>E19</f>
        <v>3243</v>
      </c>
      <c r="F48" s="107"/>
      <c r="G48" s="107"/>
      <c r="H48" s="107"/>
      <c r="I48" s="107"/>
      <c r="J48" s="107"/>
    </row>
    <row r="49" spans="1:10" hidden="1" outlineLevel="1" x14ac:dyDescent="0.2">
      <c r="A49" s="5" t="s">
        <v>127</v>
      </c>
      <c r="B49" s="5">
        <v>59</v>
      </c>
      <c r="C49" s="5">
        <v>86</v>
      </c>
      <c r="D49" s="5">
        <v>85</v>
      </c>
      <c r="E49" s="384" t="s">
        <v>135</v>
      </c>
      <c r="F49" s="107"/>
      <c r="G49" s="107"/>
      <c r="H49" s="107"/>
      <c r="I49" s="107"/>
      <c r="J49" s="107"/>
    </row>
    <row r="50" spans="1:10" hidden="1" outlineLevel="1" x14ac:dyDescent="0.2">
      <c r="A50" s="5" t="s">
        <v>129</v>
      </c>
      <c r="B50" s="5">
        <v>134</v>
      </c>
      <c r="C50" s="5">
        <v>112</v>
      </c>
      <c r="D50" s="5">
        <v>147</v>
      </c>
      <c r="E50" s="384"/>
      <c r="F50" s="107"/>
      <c r="G50" s="107"/>
      <c r="H50" s="107"/>
      <c r="I50" s="107"/>
      <c r="J50" s="107"/>
    </row>
    <row r="51" spans="1:10" hidden="1" outlineLevel="1" x14ac:dyDescent="0.2">
      <c r="A51" s="5" t="s">
        <v>123</v>
      </c>
      <c r="B51" s="5">
        <v>374</v>
      </c>
      <c r="C51" s="5">
        <v>269</v>
      </c>
      <c r="D51" s="5">
        <v>846</v>
      </c>
      <c r="E51" s="384"/>
      <c r="F51" s="107"/>
      <c r="G51" s="107"/>
      <c r="H51" s="107"/>
      <c r="I51" s="107"/>
      <c r="J51" s="107"/>
    </row>
    <row r="52" spans="1:10" hidden="1" outlineLevel="1" x14ac:dyDescent="0.2">
      <c r="A52" s="5" t="s">
        <v>122</v>
      </c>
      <c r="B52" s="5">
        <v>0</v>
      </c>
      <c r="C52" s="5">
        <v>0</v>
      </c>
      <c r="D52" s="5">
        <v>1548</v>
      </c>
      <c r="E52" s="384"/>
      <c r="F52" s="107"/>
      <c r="G52" s="107"/>
      <c r="H52" s="107"/>
      <c r="I52" s="107"/>
      <c r="J52" s="107"/>
    </row>
    <row r="53" spans="1:10" ht="15" hidden="1" outlineLevel="1" x14ac:dyDescent="0.2">
      <c r="A53" s="5" t="s">
        <v>128</v>
      </c>
      <c r="B53" s="101">
        <v>346</v>
      </c>
      <c r="C53" s="101">
        <v>293</v>
      </c>
      <c r="D53" s="101">
        <v>385</v>
      </c>
      <c r="E53" s="384"/>
      <c r="F53" s="107"/>
      <c r="G53" s="107"/>
      <c r="H53" s="107"/>
      <c r="I53" s="107"/>
      <c r="J53" s="107"/>
    </row>
    <row r="54" spans="1:10" hidden="1" outlineLevel="1" x14ac:dyDescent="0.2">
      <c r="B54" s="70">
        <f>SUM(B49:B53)</f>
        <v>913</v>
      </c>
      <c r="C54" s="70">
        <f>SUM(C49:C53)</f>
        <v>760</v>
      </c>
      <c r="D54" s="70">
        <f>SUM(D49:D53)</f>
        <v>3011</v>
      </c>
      <c r="E54" s="70">
        <f>SUM(E49:E53)</f>
        <v>0</v>
      </c>
      <c r="F54" s="107"/>
      <c r="G54" s="107"/>
      <c r="H54" s="107"/>
      <c r="I54" s="107"/>
      <c r="J54" s="107"/>
    </row>
    <row r="55" spans="1:10" hidden="1" outlineLevel="1" x14ac:dyDescent="0.2">
      <c r="A55" s="199" t="s">
        <v>302</v>
      </c>
      <c r="F55" s="107"/>
      <c r="G55" s="107"/>
      <c r="H55" s="107"/>
      <c r="I55" s="107"/>
      <c r="J55" s="107"/>
    </row>
    <row r="56" spans="1:10" hidden="1" outlineLevel="1" x14ac:dyDescent="0.2">
      <c r="F56" s="107"/>
      <c r="G56" s="107"/>
      <c r="H56" s="107"/>
      <c r="I56" s="107"/>
      <c r="J56" s="107"/>
    </row>
    <row r="57" spans="1:10" s="24" customFormat="1" ht="15" hidden="1" outlineLevel="1" x14ac:dyDescent="0.2">
      <c r="A57" s="32" t="s">
        <v>113</v>
      </c>
      <c r="B57" s="104">
        <f>B29</f>
        <v>11283</v>
      </c>
      <c r="C57" s="104">
        <f>C29</f>
        <v>9114</v>
      </c>
      <c r="D57" s="104">
        <f>D29</f>
        <v>9979</v>
      </c>
      <c r="E57" s="104">
        <f>E29</f>
        <v>10537</v>
      </c>
      <c r="F57" s="114"/>
      <c r="G57" s="114"/>
      <c r="H57" s="114"/>
      <c r="I57" s="114"/>
      <c r="J57" s="114"/>
    </row>
    <row r="58" spans="1:10" hidden="1" outlineLevel="1" x14ac:dyDescent="0.2">
      <c r="A58" s="5" t="s">
        <v>120</v>
      </c>
      <c r="B58" s="5">
        <v>2200</v>
      </c>
      <c r="C58" s="5">
        <v>1400</v>
      </c>
      <c r="D58" s="5">
        <v>1400</v>
      </c>
      <c r="E58" s="384" t="s">
        <v>135</v>
      </c>
      <c r="F58" s="107"/>
      <c r="G58" s="107"/>
      <c r="H58" s="107"/>
      <c r="I58" s="107"/>
      <c r="J58" s="107"/>
    </row>
    <row r="59" spans="1:10" hidden="1" outlineLevel="1" x14ac:dyDescent="0.2">
      <c r="A59" s="5" t="s">
        <v>121</v>
      </c>
      <c r="B59" s="5">
        <v>283</v>
      </c>
      <c r="C59" s="5">
        <v>179</v>
      </c>
      <c r="D59" s="5">
        <v>250</v>
      </c>
      <c r="E59" s="384"/>
      <c r="F59" s="107"/>
      <c r="G59" s="107"/>
      <c r="H59" s="107"/>
      <c r="I59" s="107"/>
      <c r="J59" s="107"/>
    </row>
    <row r="60" spans="1:10" hidden="1" outlineLevel="1" x14ac:dyDescent="0.2">
      <c r="A60" s="5" t="s">
        <v>126</v>
      </c>
      <c r="B60" s="5">
        <f>2407+114+791</f>
        <v>3312</v>
      </c>
      <c r="C60" s="5">
        <f>1627+88+670</f>
        <v>2385</v>
      </c>
      <c r="D60" s="5">
        <f>1620+119+628</f>
        <v>2367</v>
      </c>
      <c r="E60" s="384"/>
      <c r="F60" s="107"/>
      <c r="G60" s="107"/>
      <c r="H60" s="107"/>
      <c r="I60" s="107"/>
      <c r="J60" s="107"/>
    </row>
    <row r="61" spans="1:10" hidden="1" outlineLevel="1" x14ac:dyDescent="0.2">
      <c r="A61" s="5" t="s">
        <v>124</v>
      </c>
      <c r="B61" s="5">
        <v>0</v>
      </c>
      <c r="C61" s="5">
        <v>0</v>
      </c>
      <c r="D61" s="5">
        <v>1118</v>
      </c>
      <c r="E61" s="384"/>
      <c r="F61" s="107"/>
      <c r="G61" s="107"/>
      <c r="H61" s="107"/>
      <c r="I61" s="107"/>
      <c r="J61" s="107"/>
    </row>
    <row r="62" spans="1:10" hidden="1" outlineLevel="1" x14ac:dyDescent="0.2">
      <c r="A62" s="5" t="s">
        <v>132</v>
      </c>
      <c r="B62" s="44">
        <f>B57-SUM(B58:B61)</f>
        <v>5488</v>
      </c>
      <c r="C62" s="44">
        <f>C57-SUM(C58:C61)</f>
        <v>5150</v>
      </c>
      <c r="D62" s="44">
        <f>D57-SUM(D58:D61)</f>
        <v>4844</v>
      </c>
      <c r="E62" s="384"/>
      <c r="F62" s="107"/>
      <c r="G62" s="107"/>
      <c r="H62" s="107"/>
      <c r="I62" s="107"/>
      <c r="J62" s="107"/>
    </row>
    <row r="63" spans="1:10" hidden="1" outlineLevel="1" x14ac:dyDescent="0.2">
      <c r="F63" s="107"/>
      <c r="G63" s="107"/>
      <c r="H63" s="107"/>
      <c r="I63" s="107"/>
      <c r="J63" s="107"/>
    </row>
    <row r="64" spans="1:10" x14ac:dyDescent="0.2">
      <c r="F64" s="107"/>
      <c r="G64" s="107"/>
      <c r="H64" s="107"/>
      <c r="I64" s="107"/>
      <c r="J64" s="107"/>
    </row>
    <row r="65" spans="1:12" ht="15" x14ac:dyDescent="0.2">
      <c r="A65" s="32" t="s">
        <v>111</v>
      </c>
      <c r="B65" s="103">
        <f>B24</f>
        <v>15017</v>
      </c>
      <c r="C65" s="103">
        <f>C24</f>
        <v>18112</v>
      </c>
      <c r="D65" s="103">
        <f>D24</f>
        <v>17541</v>
      </c>
      <c r="E65" s="103">
        <f>E24</f>
        <v>17220</v>
      </c>
      <c r="F65" s="128">
        <f>F70+F71</f>
        <v>18096.389878158625</v>
      </c>
      <c r="G65" s="128">
        <f t="shared" ref="G65:J65" si="22">G70+G71</f>
        <v>19021.791144203497</v>
      </c>
      <c r="H65" s="128">
        <f t="shared" si="22"/>
        <v>19682.080202002682</v>
      </c>
      <c r="I65" s="128">
        <f t="shared" si="22"/>
        <v>20378.977097146675</v>
      </c>
      <c r="J65" s="128">
        <f t="shared" si="22"/>
        <v>21114.794861111448</v>
      </c>
    </row>
    <row r="66" spans="1:12" ht="15.75" thickBot="1" x14ac:dyDescent="0.25">
      <c r="A66" s="32" t="s">
        <v>170</v>
      </c>
      <c r="B66" s="103"/>
      <c r="C66" s="103"/>
      <c r="D66" s="103"/>
      <c r="E66" s="103"/>
      <c r="F66" s="107"/>
      <c r="G66" s="107"/>
      <c r="H66" s="107"/>
      <c r="I66" s="107"/>
      <c r="J66" s="107"/>
    </row>
    <row r="67" spans="1:12" ht="14.45" customHeight="1" x14ac:dyDescent="0.2">
      <c r="A67" s="135" t="s">
        <v>130</v>
      </c>
      <c r="B67" s="5">
        <v>1161</v>
      </c>
      <c r="C67" s="68">
        <v>1329</v>
      </c>
      <c r="D67" s="68">
        <v>1351</v>
      </c>
      <c r="E67" s="385" t="s">
        <v>171</v>
      </c>
      <c r="F67" s="107"/>
      <c r="G67" s="107"/>
      <c r="H67" s="107"/>
      <c r="I67" s="107"/>
      <c r="J67" s="107"/>
    </row>
    <row r="68" spans="1:12" ht="14.45" customHeight="1" x14ac:dyDescent="0.2">
      <c r="A68" s="135" t="s">
        <v>131</v>
      </c>
      <c r="B68" s="5">
        <v>0</v>
      </c>
      <c r="C68" s="5">
        <v>1997</v>
      </c>
      <c r="D68" s="5">
        <v>58</v>
      </c>
      <c r="E68" s="386"/>
      <c r="F68" s="107"/>
      <c r="G68" s="107"/>
      <c r="H68" s="107"/>
      <c r="I68" s="107"/>
      <c r="J68" s="107"/>
    </row>
    <row r="69" spans="1:12" ht="14.45" customHeight="1" x14ac:dyDescent="0.2">
      <c r="A69" s="135" t="s">
        <v>125</v>
      </c>
      <c r="B69" s="136">
        <v>0</v>
      </c>
      <c r="C69" s="137">
        <v>0</v>
      </c>
      <c r="D69" s="137">
        <v>442</v>
      </c>
      <c r="E69" s="387"/>
      <c r="F69" s="107"/>
      <c r="G69" s="107"/>
      <c r="H69" s="107"/>
      <c r="I69" s="107"/>
      <c r="J69" s="107"/>
    </row>
    <row r="70" spans="1:12" x14ac:dyDescent="0.2">
      <c r="A70" s="32" t="s">
        <v>382</v>
      </c>
      <c r="B70" s="44">
        <f>B65-SUM(B67:B69)</f>
        <v>13856</v>
      </c>
      <c r="C70" s="44">
        <f>C65-SUM(C67:C69)</f>
        <v>14786</v>
      </c>
      <c r="D70" s="44">
        <f>D65-SUM(D67:D69)</f>
        <v>15690</v>
      </c>
      <c r="E70" s="260">
        <f>D70-1336</f>
        <v>14354</v>
      </c>
      <c r="F70" s="121">
        <f>F84</f>
        <v>15230.389878158625</v>
      </c>
      <c r="G70" s="121">
        <f t="shared" ref="G70:J70" si="23">G84</f>
        <v>16155.791144203497</v>
      </c>
      <c r="H70" s="121">
        <f t="shared" si="23"/>
        <v>16816.080202002682</v>
      </c>
      <c r="I70" s="121">
        <f t="shared" si="23"/>
        <v>17512.977097146675</v>
      </c>
      <c r="J70" s="121">
        <f t="shared" si="23"/>
        <v>18248.794861111448</v>
      </c>
      <c r="K70" s="5" t="s">
        <v>369</v>
      </c>
    </row>
    <row r="71" spans="1:12" x14ac:dyDescent="0.2">
      <c r="A71" s="32" t="s">
        <v>383</v>
      </c>
      <c r="B71" s="100">
        <f>B65-B70</f>
        <v>1161</v>
      </c>
      <c r="C71" s="100">
        <f>C65-C70</f>
        <v>3326</v>
      </c>
      <c r="D71" s="100">
        <f>D65-D70</f>
        <v>1851</v>
      </c>
      <c r="E71" s="100">
        <f>E65-E70</f>
        <v>2866</v>
      </c>
      <c r="F71" s="121">
        <f>E71</f>
        <v>2866</v>
      </c>
      <c r="G71" s="121">
        <f t="shared" ref="G71:J71" si="24">F71</f>
        <v>2866</v>
      </c>
      <c r="H71" s="121">
        <f t="shared" si="24"/>
        <v>2866</v>
      </c>
      <c r="I71" s="121">
        <f t="shared" si="24"/>
        <v>2866</v>
      </c>
      <c r="J71" s="121">
        <f t="shared" si="24"/>
        <v>2866</v>
      </c>
      <c r="K71" s="5" t="s">
        <v>370</v>
      </c>
      <c r="L71" s="5" t="s">
        <v>515</v>
      </c>
    </row>
    <row r="72" spans="1:12" x14ac:dyDescent="0.2">
      <c r="A72" s="199" t="s">
        <v>302</v>
      </c>
      <c r="B72" s="199" t="s">
        <v>328</v>
      </c>
      <c r="C72" s="199" t="s">
        <v>329</v>
      </c>
      <c r="D72" s="199" t="s">
        <v>329</v>
      </c>
      <c r="E72" s="199" t="s">
        <v>311</v>
      </c>
      <c r="F72" s="107"/>
      <c r="G72" s="107"/>
      <c r="H72" s="107"/>
      <c r="I72" s="107"/>
      <c r="J72" s="107"/>
    </row>
    <row r="73" spans="1:12" x14ac:dyDescent="0.2">
      <c r="A73" s="199"/>
      <c r="B73" s="199"/>
      <c r="C73" s="199"/>
      <c r="D73" s="199"/>
      <c r="F73" s="107"/>
      <c r="G73" s="107"/>
      <c r="H73" s="107"/>
      <c r="I73" s="107"/>
      <c r="J73" s="107"/>
    </row>
    <row r="74" spans="1:12" x14ac:dyDescent="0.2">
      <c r="A74" s="24" t="s">
        <v>136</v>
      </c>
      <c r="F74" s="107"/>
      <c r="G74" s="107"/>
      <c r="H74" s="107"/>
      <c r="I74" s="107"/>
      <c r="J74" s="107"/>
    </row>
    <row r="75" spans="1:12" x14ac:dyDescent="0.2">
      <c r="A75" s="24" t="s">
        <v>138</v>
      </c>
      <c r="F75" s="107"/>
      <c r="G75" s="107"/>
      <c r="H75" s="107"/>
      <c r="I75" s="107"/>
      <c r="J75" s="107"/>
    </row>
    <row r="76" spans="1:12" x14ac:dyDescent="0.2">
      <c r="A76" s="5" t="str">
        <f>A8</f>
        <v>Accounts and Notes Receivable</v>
      </c>
      <c r="B76" s="37">
        <f>B8</f>
        <v>7024</v>
      </c>
      <c r="C76" s="37">
        <f t="shared" ref="C76:E76" si="25">C8</f>
        <v>7142</v>
      </c>
      <c r="D76" s="37">
        <f t="shared" si="25"/>
        <v>7822</v>
      </c>
      <c r="E76" s="37">
        <f t="shared" si="25"/>
        <v>8780</v>
      </c>
      <c r="F76" s="109">
        <f>$F$77/365*'PepsiCo-IS'!J6</f>
        <v>7751.2007736437263</v>
      </c>
      <c r="G76" s="109">
        <f>$F$77/365*'PepsiCo-IS'!K6</f>
        <v>8063.5694133176275</v>
      </c>
      <c r="H76" s="109">
        <f>$F$77/365*'PepsiCo-IS'!L6</f>
        <v>8393.1284304461769</v>
      </c>
      <c r="I76" s="109">
        <f>$F$77/365*'PepsiCo-IS'!M6</f>
        <v>8740.9589042224688</v>
      </c>
      <c r="J76" s="109">
        <f>$F$77/365*'PepsiCo-IS'!N6</f>
        <v>9108.2152993022537</v>
      </c>
    </row>
    <row r="77" spans="1:12" s="41" customFormat="1" x14ac:dyDescent="0.2">
      <c r="A77" s="41" t="s">
        <v>140</v>
      </c>
      <c r="B77" s="105">
        <f>365/('PepsiCo-IS'!E6/'PepsiCo-BS'!B76)</f>
        <v>40.35828414010232</v>
      </c>
      <c r="C77" s="105">
        <f>365/('PepsiCo-IS'!F6/'PepsiCo-BS'!C76)</f>
        <v>40.315336910966423</v>
      </c>
      <c r="D77" s="105">
        <f>365/('PepsiCo-IS'!G6/'PepsiCo-BS'!D76)</f>
        <v>42.510236595643299</v>
      </c>
      <c r="E77" s="288" t="s">
        <v>372</v>
      </c>
      <c r="F77" s="133">
        <f>AVERAGE(B77:D77)</f>
        <v>41.06128588223735</v>
      </c>
      <c r="G77" s="130" t="s">
        <v>377</v>
      </c>
      <c r="H77" s="130"/>
      <c r="I77" s="130"/>
      <c r="J77" s="130"/>
    </row>
    <row r="78" spans="1:12" x14ac:dyDescent="0.2">
      <c r="A78" s="5" t="str">
        <f>A9</f>
        <v>Inventories</v>
      </c>
      <c r="B78" s="37">
        <f>B9</f>
        <v>2947</v>
      </c>
      <c r="C78" s="37">
        <f t="shared" ref="C78:E78" si="26">C9</f>
        <v>3128</v>
      </c>
      <c r="D78" s="37">
        <f t="shared" si="26"/>
        <v>3338</v>
      </c>
      <c r="E78" s="37">
        <f t="shared" si="26"/>
        <v>4314</v>
      </c>
      <c r="F78" s="109">
        <f>$F$79/365*'PepsiCo-IS'!J10</f>
        <v>3233.8369247302521</v>
      </c>
      <c r="G78" s="109">
        <f>$F$79/365*'PepsiCo-IS'!K10</f>
        <v>3430.3254459216637</v>
      </c>
      <c r="H78" s="109">
        <f>$F$79/365*'PepsiCo-IS'!L10</f>
        <v>3570.523244742853</v>
      </c>
      <c r="I78" s="109">
        <f>$F$79/365*'PepsiCo-IS'!M10</f>
        <v>3718.493909333547</v>
      </c>
      <c r="J78" s="109">
        <f>$F$79/365*'PepsiCo-IS'!N10</f>
        <v>3874.7285608439524</v>
      </c>
    </row>
    <row r="79" spans="1:12" s="41" customFormat="1" x14ac:dyDescent="0.2">
      <c r="A79" s="41" t="s">
        <v>139</v>
      </c>
      <c r="B79" s="105">
        <f>365*B78/'PepsiCo-IS'!E10</f>
        <v>40.291231224482154</v>
      </c>
      <c r="C79" s="105">
        <f>365*C78/'PepsiCo-IS'!F10</f>
        <v>42.050753195094103</v>
      </c>
      <c r="D79" s="105">
        <f>365*D78/'PepsiCo-IS'!G10</f>
        <v>43.757003304122968</v>
      </c>
      <c r="E79" s="288" t="s">
        <v>372</v>
      </c>
      <c r="F79" s="133">
        <f>AVERAGE(B79:D79)</f>
        <v>42.032995907899739</v>
      </c>
      <c r="G79" s="130" t="s">
        <v>378</v>
      </c>
      <c r="H79" s="130"/>
      <c r="I79" s="130"/>
      <c r="J79" s="130"/>
    </row>
    <row r="80" spans="1:12" x14ac:dyDescent="0.2">
      <c r="A80" s="5" t="str">
        <f>A10</f>
        <v>Prepaid expenses and other current assets</v>
      </c>
      <c r="B80" s="37">
        <f>B10</f>
        <v>1546</v>
      </c>
      <c r="C80" s="37">
        <f t="shared" ref="C80:E80" si="27">C10</f>
        <v>633</v>
      </c>
      <c r="D80" s="37">
        <f t="shared" si="27"/>
        <v>747</v>
      </c>
      <c r="E80" s="37">
        <f t="shared" si="27"/>
        <v>972</v>
      </c>
      <c r="F80" s="109">
        <f>$F$81*'PepsiCo-IS'!J6</f>
        <v>1039.2409757417452</v>
      </c>
      <c r="G80" s="109">
        <f>$F$81*'PepsiCo-IS'!K6</f>
        <v>1081.1217500070238</v>
      </c>
      <c r="H80" s="109">
        <f>$F$81*'PepsiCo-IS'!L6</f>
        <v>1125.3073213174373</v>
      </c>
      <c r="I80" s="109">
        <f>$F$81*'PepsiCo-IS'!M6</f>
        <v>1171.9426351889499</v>
      </c>
      <c r="J80" s="109">
        <f>$F$81*'PepsiCo-IS'!N6</f>
        <v>1221.1824762814281</v>
      </c>
    </row>
    <row r="81" spans="1:12" s="41" customFormat="1" x14ac:dyDescent="0.2">
      <c r="A81" s="41" t="s">
        <v>142</v>
      </c>
      <c r="B81" s="39">
        <f>B80/'PepsiCo-IS'!E6</f>
        <v>2.4336875245966155E-2</v>
      </c>
      <c r="C81" s="39">
        <f>C80/'PepsiCo-IS'!F6</f>
        <v>9.7895176381435495E-3</v>
      </c>
      <c r="D81" s="39">
        <f>D80/'PepsiCo-IS'!G6</f>
        <v>1.1122526466252737E-2</v>
      </c>
      <c r="E81" s="39"/>
      <c r="F81" s="132">
        <f>AVERAGE(B81:D81)</f>
        <v>1.5082973116787482E-2</v>
      </c>
      <c r="G81" s="116"/>
      <c r="H81" s="116"/>
      <c r="I81" s="116"/>
      <c r="J81" s="116"/>
    </row>
    <row r="82" spans="1:12" x14ac:dyDescent="0.2">
      <c r="B82" s="37"/>
      <c r="C82" s="37"/>
      <c r="D82" s="37"/>
      <c r="F82" s="107"/>
      <c r="G82" s="107"/>
      <c r="H82" s="107"/>
      <c r="I82" s="107"/>
      <c r="J82" s="107"/>
    </row>
    <row r="83" spans="1:12" x14ac:dyDescent="0.2">
      <c r="A83" s="24" t="s">
        <v>137</v>
      </c>
      <c r="B83" s="37"/>
      <c r="C83" s="37"/>
      <c r="D83" s="37"/>
      <c r="F83" s="107"/>
      <c r="G83" s="107"/>
      <c r="H83" s="107"/>
      <c r="I83" s="107"/>
      <c r="J83" s="107"/>
    </row>
    <row r="84" spans="1:12" ht="12.75" customHeight="1" x14ac:dyDescent="0.2">
      <c r="A84" s="5" t="str">
        <f>A70</f>
        <v>Accounts payable and other current liabilities-OPERATING</v>
      </c>
      <c r="B84" s="37">
        <f>B70</f>
        <v>13856</v>
      </c>
      <c r="C84" s="37">
        <f t="shared" ref="C84:E84" si="28">C70</f>
        <v>14786</v>
      </c>
      <c r="D84" s="37">
        <f t="shared" si="28"/>
        <v>15690</v>
      </c>
      <c r="E84" s="37">
        <f t="shared" si="28"/>
        <v>14354</v>
      </c>
      <c r="F84" s="109">
        <f>$F$85/365*'PepsiCo-IS'!J10</f>
        <v>15230.389878158625</v>
      </c>
      <c r="G84" s="109">
        <f>$F$85/365*'PepsiCo-IS'!K10</f>
        <v>16155.791144203497</v>
      </c>
      <c r="H84" s="109">
        <f>$F$85/365*'PepsiCo-IS'!L10</f>
        <v>16816.080202002682</v>
      </c>
      <c r="I84" s="109">
        <f>$F$85/365*'PepsiCo-IS'!M10</f>
        <v>17512.977097146675</v>
      </c>
      <c r="J84" s="109">
        <f>$F$85/365*'PepsiCo-IS'!N10</f>
        <v>18248.794861111448</v>
      </c>
      <c r="K84" s="372" t="s">
        <v>371</v>
      </c>
      <c r="L84" s="372"/>
    </row>
    <row r="85" spans="1:12" s="41" customFormat="1" x14ac:dyDescent="0.2">
      <c r="A85" s="41" t="s">
        <v>141</v>
      </c>
      <c r="B85" s="105">
        <f>365*B84/'PepsiCo-IS'!E10</f>
        <v>189.43851369067684</v>
      </c>
      <c r="C85" s="105">
        <f>365*C84/'PepsiCo-IS'!F10</f>
        <v>198.77315752642627</v>
      </c>
      <c r="D85" s="105">
        <f>365*D84/'PepsiCo-IS'!G10</f>
        <v>205.67626777761816</v>
      </c>
      <c r="E85" s="105"/>
      <c r="F85" s="133">
        <f>AVERAGE(B85:D85)</f>
        <v>197.96264633157375</v>
      </c>
      <c r="G85" s="130" t="s">
        <v>379</v>
      </c>
      <c r="H85" s="130"/>
      <c r="I85" s="130"/>
      <c r="J85" s="130"/>
      <c r="K85" s="372"/>
      <c r="L85" s="372"/>
    </row>
    <row r="86" spans="1:12" x14ac:dyDescent="0.2">
      <c r="F86" s="107"/>
      <c r="G86" s="107"/>
      <c r="H86" s="107"/>
      <c r="I86" s="107"/>
      <c r="J86" s="107"/>
      <c r="K86" s="372"/>
      <c r="L86" s="372"/>
    </row>
    <row r="87" spans="1:12" x14ac:dyDescent="0.2">
      <c r="F87" s="107"/>
      <c r="G87" s="107"/>
      <c r="H87" s="107"/>
      <c r="I87" s="107"/>
      <c r="J87" s="107"/>
    </row>
    <row r="88" spans="1:12" x14ac:dyDescent="0.2">
      <c r="F88" s="107"/>
      <c r="G88" s="107"/>
      <c r="H88" s="107"/>
      <c r="I88" s="107"/>
      <c r="J88" s="107"/>
    </row>
    <row r="89" spans="1:12" x14ac:dyDescent="0.2">
      <c r="F89" s="107"/>
      <c r="G89" s="107"/>
      <c r="H89" s="107"/>
      <c r="I89" s="107"/>
      <c r="J89" s="107"/>
    </row>
    <row r="90" spans="1:12" x14ac:dyDescent="0.2">
      <c r="F90" s="107"/>
      <c r="G90" s="107"/>
      <c r="H90" s="107"/>
      <c r="I90" s="107"/>
      <c r="J90" s="107"/>
    </row>
    <row r="91" spans="1:12" x14ac:dyDescent="0.2">
      <c r="F91" s="107"/>
      <c r="G91" s="107"/>
      <c r="H91" s="107"/>
      <c r="I91" s="107"/>
      <c r="J91" s="107"/>
    </row>
    <row r="92" spans="1:12" x14ac:dyDescent="0.2">
      <c r="F92" s="107"/>
      <c r="G92" s="107"/>
      <c r="H92" s="107"/>
      <c r="I92" s="107"/>
      <c r="J92" s="107"/>
    </row>
    <row r="93" spans="1:12" x14ac:dyDescent="0.2">
      <c r="F93" s="107"/>
      <c r="G93" s="107"/>
      <c r="H93" s="107"/>
      <c r="I93" s="107"/>
      <c r="J93" s="107"/>
    </row>
    <row r="94" spans="1:12" x14ac:dyDescent="0.2">
      <c r="F94" s="107"/>
      <c r="G94" s="107"/>
      <c r="H94" s="107"/>
      <c r="I94" s="107"/>
      <c r="J94" s="107"/>
    </row>
    <row r="95" spans="1:12" x14ac:dyDescent="0.2">
      <c r="F95" s="107"/>
      <c r="G95" s="107"/>
      <c r="H95" s="107"/>
      <c r="I95" s="107"/>
      <c r="J95" s="107"/>
    </row>
    <row r="96" spans="1:12" x14ac:dyDescent="0.2">
      <c r="F96" s="107"/>
      <c r="G96" s="107"/>
      <c r="H96" s="107"/>
      <c r="I96" s="107"/>
      <c r="J96" s="107"/>
    </row>
    <row r="97" spans="6:10" x14ac:dyDescent="0.2">
      <c r="F97" s="107"/>
      <c r="G97" s="107"/>
      <c r="H97" s="107"/>
      <c r="I97" s="107"/>
      <c r="J97" s="107"/>
    </row>
    <row r="98" spans="6:10" x14ac:dyDescent="0.2">
      <c r="F98" s="107"/>
      <c r="G98" s="107"/>
      <c r="H98" s="107"/>
      <c r="I98" s="107"/>
      <c r="J98" s="107"/>
    </row>
    <row r="99" spans="6:10" x14ac:dyDescent="0.2">
      <c r="F99" s="107"/>
      <c r="G99" s="107"/>
      <c r="H99" s="107"/>
      <c r="I99" s="107"/>
      <c r="J99" s="107"/>
    </row>
    <row r="100" spans="6:10" x14ac:dyDescent="0.2">
      <c r="F100" s="107"/>
      <c r="G100" s="107"/>
      <c r="H100" s="107"/>
      <c r="I100" s="107"/>
      <c r="J100" s="107"/>
    </row>
    <row r="101" spans="6:10" x14ac:dyDescent="0.2">
      <c r="F101" s="107"/>
      <c r="G101" s="107"/>
      <c r="H101" s="107"/>
      <c r="I101" s="107"/>
      <c r="J101" s="107"/>
    </row>
    <row r="102" spans="6:10" x14ac:dyDescent="0.2">
      <c r="F102" s="107"/>
      <c r="G102" s="107"/>
      <c r="H102" s="107"/>
      <c r="I102" s="107"/>
      <c r="J102" s="107"/>
    </row>
    <row r="103" spans="6:10" x14ac:dyDescent="0.2">
      <c r="F103" s="107"/>
      <c r="G103" s="107"/>
      <c r="H103" s="107"/>
      <c r="I103" s="107"/>
      <c r="J103" s="107"/>
    </row>
    <row r="104" spans="6:10" x14ac:dyDescent="0.2">
      <c r="F104" s="107"/>
      <c r="G104" s="107"/>
      <c r="H104" s="107"/>
      <c r="I104" s="107"/>
      <c r="J104" s="107"/>
    </row>
    <row r="105" spans="6:10" x14ac:dyDescent="0.2">
      <c r="F105" s="107"/>
      <c r="G105" s="107"/>
      <c r="H105" s="107"/>
      <c r="I105" s="107"/>
      <c r="J105" s="107"/>
    </row>
    <row r="106" spans="6:10" x14ac:dyDescent="0.2">
      <c r="F106" s="107"/>
      <c r="G106" s="107"/>
      <c r="H106" s="107"/>
      <c r="I106" s="107"/>
      <c r="J106" s="107"/>
    </row>
    <row r="107" spans="6:10" x14ac:dyDescent="0.2">
      <c r="F107" s="107"/>
      <c r="G107" s="107"/>
      <c r="H107" s="107"/>
      <c r="I107" s="107"/>
      <c r="J107" s="107"/>
    </row>
    <row r="108" spans="6:10" x14ac:dyDescent="0.2">
      <c r="F108" s="107"/>
      <c r="G108" s="107"/>
      <c r="H108" s="107"/>
      <c r="I108" s="107"/>
      <c r="J108" s="107"/>
    </row>
    <row r="109" spans="6:10" x14ac:dyDescent="0.2">
      <c r="F109" s="107"/>
      <c r="G109" s="107"/>
      <c r="H109" s="107"/>
      <c r="I109" s="107"/>
      <c r="J109" s="107"/>
    </row>
    <row r="110" spans="6:10" x14ac:dyDescent="0.2">
      <c r="F110" s="107"/>
      <c r="G110" s="107"/>
      <c r="H110" s="107"/>
      <c r="I110" s="107"/>
      <c r="J110" s="107"/>
    </row>
    <row r="111" spans="6:10" x14ac:dyDescent="0.2">
      <c r="F111" s="107"/>
      <c r="G111" s="107"/>
      <c r="H111" s="107"/>
      <c r="I111" s="107"/>
      <c r="J111" s="107"/>
    </row>
    <row r="112" spans="6:10" x14ac:dyDescent="0.2">
      <c r="F112" s="107"/>
      <c r="G112" s="107"/>
      <c r="H112" s="107"/>
      <c r="I112" s="107"/>
      <c r="J112" s="107"/>
    </row>
    <row r="113" spans="6:10" x14ac:dyDescent="0.2">
      <c r="F113" s="107"/>
      <c r="G113" s="107"/>
      <c r="H113" s="107"/>
      <c r="I113" s="107"/>
      <c r="J113" s="107"/>
    </row>
    <row r="114" spans="6:10" x14ac:dyDescent="0.2">
      <c r="F114" s="107"/>
      <c r="G114" s="107"/>
      <c r="H114" s="107"/>
      <c r="I114" s="107"/>
      <c r="J114" s="107"/>
    </row>
    <row r="115" spans="6:10" x14ac:dyDescent="0.2">
      <c r="F115" s="107"/>
      <c r="G115" s="107"/>
      <c r="H115" s="107"/>
      <c r="I115" s="107"/>
      <c r="J115" s="107"/>
    </row>
    <row r="116" spans="6:10" x14ac:dyDescent="0.2">
      <c r="F116" s="107"/>
      <c r="G116" s="107"/>
      <c r="H116" s="107"/>
      <c r="I116" s="107"/>
      <c r="J116" s="107"/>
    </row>
    <row r="117" spans="6:10" x14ac:dyDescent="0.2">
      <c r="F117" s="107"/>
      <c r="G117" s="107"/>
      <c r="H117" s="107"/>
      <c r="I117" s="107"/>
      <c r="J117" s="107"/>
    </row>
    <row r="118" spans="6:10" x14ac:dyDescent="0.2">
      <c r="F118" s="107"/>
      <c r="G118" s="107"/>
      <c r="H118" s="107"/>
      <c r="I118" s="107"/>
      <c r="J118" s="107"/>
    </row>
    <row r="119" spans="6:10" x14ac:dyDescent="0.2">
      <c r="F119" s="107"/>
      <c r="G119" s="107"/>
      <c r="H119" s="107"/>
      <c r="I119" s="107"/>
      <c r="J119" s="107"/>
    </row>
    <row r="120" spans="6:10" x14ac:dyDescent="0.2">
      <c r="F120" s="107"/>
      <c r="G120" s="107"/>
      <c r="H120" s="107"/>
      <c r="I120" s="107"/>
      <c r="J120" s="107"/>
    </row>
    <row r="121" spans="6:10" x14ac:dyDescent="0.2">
      <c r="F121" s="107"/>
      <c r="G121" s="107"/>
      <c r="H121" s="107"/>
      <c r="I121" s="107"/>
      <c r="J121" s="107"/>
    </row>
    <row r="122" spans="6:10" x14ac:dyDescent="0.2">
      <c r="F122" s="107"/>
      <c r="G122" s="107"/>
      <c r="H122" s="107"/>
      <c r="I122" s="107"/>
      <c r="J122" s="107"/>
    </row>
    <row r="123" spans="6:10" x14ac:dyDescent="0.2">
      <c r="F123" s="107"/>
      <c r="G123" s="107"/>
      <c r="H123" s="107"/>
      <c r="I123" s="107"/>
      <c r="J123" s="107"/>
    </row>
    <row r="124" spans="6:10" x14ac:dyDescent="0.2">
      <c r="F124" s="107"/>
      <c r="G124" s="107"/>
      <c r="H124" s="107"/>
      <c r="I124" s="107"/>
      <c r="J124" s="107"/>
    </row>
    <row r="125" spans="6:10" x14ac:dyDescent="0.2">
      <c r="F125" s="107"/>
      <c r="G125" s="107"/>
      <c r="H125" s="107"/>
      <c r="I125" s="107"/>
      <c r="J125" s="107"/>
    </row>
    <row r="126" spans="6:10" x14ac:dyDescent="0.2">
      <c r="F126" s="107"/>
      <c r="G126" s="107"/>
      <c r="H126" s="107"/>
      <c r="I126" s="107"/>
      <c r="J126" s="107"/>
    </row>
    <row r="127" spans="6:10" x14ac:dyDescent="0.2">
      <c r="F127" s="107"/>
      <c r="G127" s="107"/>
      <c r="H127" s="107"/>
      <c r="I127" s="107"/>
      <c r="J127" s="107"/>
    </row>
    <row r="128" spans="6:10" x14ac:dyDescent="0.2">
      <c r="F128" s="107"/>
      <c r="G128" s="107"/>
      <c r="H128" s="107"/>
      <c r="I128" s="107"/>
      <c r="J128" s="107"/>
    </row>
    <row r="129" spans="6:10" x14ac:dyDescent="0.2">
      <c r="F129" s="107"/>
      <c r="G129" s="107"/>
      <c r="H129" s="107"/>
      <c r="I129" s="107"/>
      <c r="J129" s="107"/>
    </row>
    <row r="130" spans="6:10" x14ac:dyDescent="0.2">
      <c r="F130" s="107"/>
      <c r="G130" s="107"/>
      <c r="H130" s="107"/>
      <c r="I130" s="107"/>
      <c r="J130" s="107"/>
    </row>
    <row r="131" spans="6:10" x14ac:dyDescent="0.2">
      <c r="F131" s="107"/>
      <c r="G131" s="107"/>
      <c r="H131" s="107"/>
      <c r="I131" s="107"/>
      <c r="J131" s="107"/>
    </row>
    <row r="132" spans="6:10" x14ac:dyDescent="0.2">
      <c r="F132" s="107"/>
      <c r="G132" s="107"/>
      <c r="H132" s="107"/>
      <c r="I132" s="107"/>
      <c r="J132" s="107"/>
    </row>
    <row r="133" spans="6:10" x14ac:dyDescent="0.2">
      <c r="F133" s="107"/>
      <c r="G133" s="107"/>
      <c r="H133" s="107"/>
      <c r="I133" s="107"/>
      <c r="J133" s="107"/>
    </row>
    <row r="134" spans="6:10" x14ac:dyDescent="0.2">
      <c r="F134" s="107"/>
      <c r="G134" s="107"/>
      <c r="H134" s="107"/>
      <c r="I134" s="107"/>
      <c r="J134" s="107"/>
    </row>
    <row r="135" spans="6:10" x14ac:dyDescent="0.2">
      <c r="F135" s="107"/>
      <c r="G135" s="107"/>
      <c r="H135" s="107"/>
      <c r="I135" s="107"/>
      <c r="J135" s="107"/>
    </row>
    <row r="136" spans="6:10" x14ac:dyDescent="0.2">
      <c r="F136" s="107"/>
      <c r="G136" s="107"/>
      <c r="H136" s="107"/>
      <c r="I136" s="107"/>
      <c r="J136" s="107"/>
    </row>
    <row r="137" spans="6:10" x14ac:dyDescent="0.2">
      <c r="F137" s="107"/>
      <c r="G137" s="107"/>
      <c r="H137" s="107"/>
      <c r="I137" s="107"/>
      <c r="J137" s="107"/>
    </row>
    <row r="138" spans="6:10" x14ac:dyDescent="0.2">
      <c r="F138" s="107"/>
      <c r="G138" s="107"/>
      <c r="H138" s="107"/>
      <c r="I138" s="107"/>
      <c r="J138" s="107"/>
    </row>
    <row r="139" spans="6:10" x14ac:dyDescent="0.2">
      <c r="F139" s="107"/>
      <c r="G139" s="107"/>
      <c r="H139" s="107"/>
      <c r="I139" s="107"/>
      <c r="J139" s="107"/>
    </row>
    <row r="140" spans="6:10" x14ac:dyDescent="0.2">
      <c r="F140" s="107"/>
      <c r="G140" s="107"/>
      <c r="H140" s="107"/>
      <c r="I140" s="107"/>
      <c r="J140" s="107"/>
    </row>
    <row r="141" spans="6:10" x14ac:dyDescent="0.2">
      <c r="F141" s="107"/>
      <c r="G141" s="107"/>
      <c r="H141" s="107"/>
      <c r="I141" s="107"/>
      <c r="J141" s="107"/>
    </row>
    <row r="142" spans="6:10" x14ac:dyDescent="0.2">
      <c r="F142" s="107"/>
      <c r="G142" s="107"/>
      <c r="H142" s="107"/>
      <c r="I142" s="107"/>
      <c r="J142" s="107"/>
    </row>
    <row r="143" spans="6:10" x14ac:dyDescent="0.2">
      <c r="F143" s="107"/>
      <c r="G143" s="107"/>
      <c r="H143" s="107"/>
      <c r="I143" s="107"/>
      <c r="J143" s="107"/>
    </row>
    <row r="144" spans="6:10" x14ac:dyDescent="0.2">
      <c r="F144" s="107"/>
      <c r="G144" s="107"/>
      <c r="H144" s="107"/>
      <c r="I144" s="107"/>
      <c r="J144" s="107"/>
    </row>
    <row r="145" spans="6:10" x14ac:dyDescent="0.2">
      <c r="F145" s="107"/>
      <c r="G145" s="107"/>
      <c r="H145" s="107"/>
      <c r="I145" s="107"/>
      <c r="J145" s="107"/>
    </row>
    <row r="146" spans="6:10" x14ac:dyDescent="0.2">
      <c r="F146" s="107"/>
      <c r="G146" s="107"/>
      <c r="H146" s="107"/>
      <c r="I146" s="107"/>
      <c r="J146" s="107"/>
    </row>
    <row r="147" spans="6:10" x14ac:dyDescent="0.2">
      <c r="F147" s="107"/>
      <c r="G147" s="107"/>
      <c r="H147" s="107"/>
      <c r="I147" s="107"/>
      <c r="J147" s="107"/>
    </row>
    <row r="148" spans="6:10" x14ac:dyDescent="0.2">
      <c r="F148" s="107"/>
      <c r="G148" s="107"/>
      <c r="H148" s="107"/>
      <c r="I148" s="107"/>
      <c r="J148" s="107"/>
    </row>
    <row r="149" spans="6:10" x14ac:dyDescent="0.2">
      <c r="F149" s="107"/>
      <c r="G149" s="107"/>
      <c r="H149" s="107"/>
      <c r="I149" s="107"/>
      <c r="J149" s="107"/>
    </row>
    <row r="150" spans="6:10" x14ac:dyDescent="0.2">
      <c r="F150" s="107"/>
      <c r="G150" s="107"/>
      <c r="H150" s="107"/>
      <c r="I150" s="107"/>
      <c r="J150" s="107"/>
    </row>
    <row r="151" spans="6:10" x14ac:dyDescent="0.2">
      <c r="F151" s="107"/>
      <c r="G151" s="107"/>
      <c r="H151" s="107"/>
      <c r="I151" s="107"/>
      <c r="J151" s="107"/>
    </row>
    <row r="152" spans="6:10" x14ac:dyDescent="0.2">
      <c r="F152" s="107"/>
      <c r="G152" s="107"/>
      <c r="H152" s="107"/>
      <c r="I152" s="107"/>
      <c r="J152" s="107"/>
    </row>
    <row r="153" spans="6:10" x14ac:dyDescent="0.2">
      <c r="F153" s="107"/>
      <c r="G153" s="107"/>
      <c r="H153" s="107"/>
      <c r="I153" s="107"/>
      <c r="J153" s="107"/>
    </row>
    <row r="154" spans="6:10" x14ac:dyDescent="0.2">
      <c r="F154" s="107"/>
      <c r="G154" s="107"/>
      <c r="H154" s="107"/>
      <c r="I154" s="107"/>
      <c r="J154" s="107"/>
    </row>
    <row r="155" spans="6:10" x14ac:dyDescent="0.2">
      <c r="F155" s="107"/>
      <c r="G155" s="107"/>
      <c r="H155" s="107"/>
      <c r="I155" s="107"/>
      <c r="J155" s="107"/>
    </row>
    <row r="156" spans="6:10" x14ac:dyDescent="0.2">
      <c r="F156" s="107"/>
      <c r="G156" s="107"/>
      <c r="H156" s="107"/>
      <c r="I156" s="107"/>
      <c r="J156" s="107"/>
    </row>
    <row r="157" spans="6:10" x14ac:dyDescent="0.2">
      <c r="F157" s="107"/>
      <c r="G157" s="107"/>
      <c r="H157" s="107"/>
      <c r="I157" s="107"/>
      <c r="J157" s="107"/>
    </row>
    <row r="158" spans="6:10" x14ac:dyDescent="0.2">
      <c r="F158" s="107"/>
      <c r="G158" s="107"/>
      <c r="H158" s="107"/>
      <c r="I158" s="107"/>
      <c r="J158" s="107"/>
    </row>
    <row r="159" spans="6:10" x14ac:dyDescent="0.2">
      <c r="F159" s="107"/>
      <c r="G159" s="107"/>
      <c r="H159" s="107"/>
      <c r="I159" s="107"/>
      <c r="J159" s="107"/>
    </row>
    <row r="160" spans="6:10" x14ac:dyDescent="0.2">
      <c r="F160" s="107"/>
      <c r="G160" s="107"/>
      <c r="H160" s="107"/>
      <c r="I160" s="107"/>
      <c r="J160" s="107"/>
    </row>
    <row r="161" spans="6:10" x14ac:dyDescent="0.2">
      <c r="F161" s="107"/>
      <c r="G161" s="107"/>
      <c r="H161" s="107"/>
      <c r="I161" s="107"/>
      <c r="J161" s="107"/>
    </row>
    <row r="162" spans="6:10" x14ac:dyDescent="0.2">
      <c r="F162" s="107"/>
      <c r="G162" s="107"/>
      <c r="H162" s="107"/>
      <c r="I162" s="107"/>
      <c r="J162" s="107"/>
    </row>
    <row r="163" spans="6:10" x14ac:dyDescent="0.2">
      <c r="F163" s="107"/>
      <c r="G163" s="107"/>
      <c r="H163" s="107"/>
      <c r="I163" s="107"/>
      <c r="J163" s="107"/>
    </row>
    <row r="164" spans="6:10" x14ac:dyDescent="0.2">
      <c r="F164" s="107"/>
      <c r="G164" s="107"/>
      <c r="H164" s="107"/>
      <c r="I164" s="107"/>
      <c r="J164" s="107"/>
    </row>
    <row r="165" spans="6:10" x14ac:dyDescent="0.2">
      <c r="F165" s="107"/>
      <c r="G165" s="107"/>
      <c r="H165" s="107"/>
      <c r="I165" s="107"/>
      <c r="J165" s="107"/>
    </row>
    <row r="166" spans="6:10" x14ac:dyDescent="0.2">
      <c r="F166" s="107"/>
      <c r="G166" s="107"/>
      <c r="H166" s="107"/>
      <c r="I166" s="107"/>
      <c r="J166" s="107"/>
    </row>
    <row r="167" spans="6:10" x14ac:dyDescent="0.2">
      <c r="F167" s="107"/>
      <c r="G167" s="107"/>
      <c r="H167" s="107"/>
      <c r="I167" s="107"/>
      <c r="J167" s="107"/>
    </row>
    <row r="168" spans="6:10" x14ac:dyDescent="0.2">
      <c r="F168" s="107"/>
      <c r="G168" s="107"/>
      <c r="H168" s="107"/>
      <c r="I168" s="107"/>
      <c r="J168" s="107"/>
    </row>
    <row r="169" spans="6:10" x14ac:dyDescent="0.2">
      <c r="F169" s="107"/>
      <c r="G169" s="107"/>
      <c r="H169" s="107"/>
      <c r="I169" s="107"/>
      <c r="J169" s="107"/>
    </row>
    <row r="170" spans="6:10" x14ac:dyDescent="0.2">
      <c r="F170" s="107"/>
      <c r="G170" s="107"/>
      <c r="H170" s="107"/>
      <c r="I170" s="107"/>
      <c r="J170" s="107"/>
    </row>
    <row r="171" spans="6:10" x14ac:dyDescent="0.2">
      <c r="F171" s="107"/>
      <c r="G171" s="107"/>
      <c r="H171" s="107"/>
      <c r="I171" s="107"/>
      <c r="J171" s="107"/>
    </row>
    <row r="172" spans="6:10" x14ac:dyDescent="0.2">
      <c r="F172" s="107"/>
      <c r="G172" s="107"/>
      <c r="H172" s="107"/>
      <c r="I172" s="107"/>
      <c r="J172" s="107"/>
    </row>
    <row r="173" spans="6:10" x14ac:dyDescent="0.2">
      <c r="F173" s="107"/>
      <c r="G173" s="107"/>
      <c r="H173" s="107"/>
      <c r="I173" s="107"/>
      <c r="J173" s="107"/>
    </row>
    <row r="174" spans="6:10" x14ac:dyDescent="0.2">
      <c r="F174" s="107"/>
      <c r="G174" s="107"/>
      <c r="H174" s="107"/>
      <c r="I174" s="107"/>
      <c r="J174" s="107"/>
    </row>
    <row r="175" spans="6:10" x14ac:dyDescent="0.2">
      <c r="F175" s="107"/>
      <c r="G175" s="107"/>
      <c r="H175" s="107"/>
      <c r="I175" s="107"/>
      <c r="J175" s="107"/>
    </row>
    <row r="176" spans="6:10" x14ac:dyDescent="0.2">
      <c r="F176" s="107"/>
      <c r="G176" s="107"/>
      <c r="H176" s="107"/>
      <c r="I176" s="107"/>
      <c r="J176" s="107"/>
    </row>
    <row r="177" spans="6:10" x14ac:dyDescent="0.2">
      <c r="F177" s="107"/>
      <c r="G177" s="107"/>
      <c r="H177" s="107"/>
      <c r="I177" s="107"/>
      <c r="J177" s="107"/>
    </row>
    <row r="178" spans="6:10" x14ac:dyDescent="0.2">
      <c r="F178" s="107"/>
      <c r="G178" s="107"/>
      <c r="H178" s="107"/>
      <c r="I178" s="107"/>
      <c r="J178" s="107"/>
    </row>
    <row r="179" spans="6:10" x14ac:dyDescent="0.2">
      <c r="F179" s="107"/>
      <c r="G179" s="107"/>
      <c r="H179" s="107"/>
      <c r="I179" s="107"/>
      <c r="J179" s="107"/>
    </row>
    <row r="180" spans="6:10" x14ac:dyDescent="0.2">
      <c r="F180" s="107"/>
      <c r="G180" s="107"/>
      <c r="H180" s="107"/>
      <c r="I180" s="107"/>
      <c r="J180" s="107"/>
    </row>
    <row r="181" spans="6:10" x14ac:dyDescent="0.2">
      <c r="F181" s="107"/>
      <c r="G181" s="107"/>
      <c r="H181" s="107"/>
      <c r="I181" s="107"/>
      <c r="J181" s="107"/>
    </row>
    <row r="182" spans="6:10" x14ac:dyDescent="0.2">
      <c r="F182" s="107"/>
      <c r="G182" s="107"/>
      <c r="H182" s="107"/>
      <c r="I182" s="107"/>
      <c r="J182" s="107"/>
    </row>
    <row r="183" spans="6:10" x14ac:dyDescent="0.2">
      <c r="F183" s="107"/>
      <c r="G183" s="107"/>
      <c r="H183" s="107"/>
      <c r="I183" s="107"/>
      <c r="J183" s="107"/>
    </row>
    <row r="184" spans="6:10" x14ac:dyDescent="0.2">
      <c r="F184" s="107"/>
      <c r="G184" s="107"/>
      <c r="H184" s="107"/>
      <c r="I184" s="107"/>
      <c r="J184" s="107"/>
    </row>
    <row r="185" spans="6:10" x14ac:dyDescent="0.2">
      <c r="F185" s="107"/>
      <c r="G185" s="107"/>
      <c r="H185" s="107"/>
      <c r="I185" s="107"/>
      <c r="J185" s="107"/>
    </row>
    <row r="186" spans="6:10" x14ac:dyDescent="0.2">
      <c r="F186" s="107"/>
      <c r="G186" s="107"/>
      <c r="H186" s="107"/>
      <c r="I186" s="107"/>
      <c r="J186" s="107"/>
    </row>
    <row r="187" spans="6:10" x14ac:dyDescent="0.2">
      <c r="F187" s="107"/>
      <c r="G187" s="107"/>
      <c r="H187" s="107"/>
      <c r="I187" s="107"/>
      <c r="J187" s="107"/>
    </row>
    <row r="188" spans="6:10" x14ac:dyDescent="0.2">
      <c r="F188" s="107"/>
      <c r="G188" s="107"/>
      <c r="H188" s="107"/>
      <c r="I188" s="107"/>
      <c r="J188" s="107"/>
    </row>
    <row r="189" spans="6:10" x14ac:dyDescent="0.2">
      <c r="F189" s="107"/>
      <c r="G189" s="107"/>
      <c r="H189" s="107"/>
      <c r="I189" s="107"/>
      <c r="J189" s="107"/>
    </row>
    <row r="190" spans="6:10" x14ac:dyDescent="0.2">
      <c r="F190" s="107"/>
      <c r="G190" s="107"/>
      <c r="H190" s="107"/>
      <c r="I190" s="107"/>
      <c r="J190" s="107"/>
    </row>
    <row r="191" spans="6:10" x14ac:dyDescent="0.2">
      <c r="F191" s="107"/>
      <c r="G191" s="107"/>
      <c r="H191" s="107"/>
      <c r="I191" s="107"/>
      <c r="J191" s="107"/>
    </row>
    <row r="192" spans="6:10" x14ac:dyDescent="0.2">
      <c r="F192" s="107"/>
      <c r="G192" s="107"/>
      <c r="H192" s="107"/>
      <c r="I192" s="107"/>
      <c r="J192" s="107"/>
    </row>
    <row r="193" spans="6:10" x14ac:dyDescent="0.2">
      <c r="F193" s="107"/>
      <c r="G193" s="107"/>
      <c r="H193" s="107"/>
      <c r="I193" s="107"/>
      <c r="J193" s="107"/>
    </row>
    <row r="194" spans="6:10" x14ac:dyDescent="0.2">
      <c r="F194" s="107"/>
      <c r="G194" s="107"/>
      <c r="H194" s="107"/>
      <c r="I194" s="107"/>
      <c r="J194" s="107"/>
    </row>
    <row r="195" spans="6:10" x14ac:dyDescent="0.2">
      <c r="F195" s="107"/>
      <c r="G195" s="107"/>
      <c r="H195" s="107"/>
      <c r="I195" s="107"/>
      <c r="J195" s="107"/>
    </row>
    <row r="196" spans="6:10" x14ac:dyDescent="0.2">
      <c r="F196" s="107"/>
      <c r="G196" s="107"/>
      <c r="H196" s="107"/>
      <c r="I196" s="107"/>
      <c r="J196" s="107"/>
    </row>
    <row r="197" spans="6:10" x14ac:dyDescent="0.2">
      <c r="F197" s="107"/>
      <c r="G197" s="107"/>
      <c r="H197" s="107"/>
      <c r="I197" s="107"/>
      <c r="J197" s="107"/>
    </row>
    <row r="198" spans="6:10" x14ac:dyDescent="0.2">
      <c r="F198" s="107"/>
      <c r="G198" s="107"/>
      <c r="H198" s="107"/>
      <c r="I198" s="107"/>
      <c r="J198" s="107"/>
    </row>
    <row r="199" spans="6:10" x14ac:dyDescent="0.2">
      <c r="F199" s="107"/>
      <c r="G199" s="107"/>
      <c r="H199" s="107"/>
      <c r="I199" s="107"/>
      <c r="J199" s="107"/>
    </row>
    <row r="200" spans="6:10" x14ac:dyDescent="0.2">
      <c r="F200" s="107"/>
      <c r="G200" s="107"/>
      <c r="H200" s="107"/>
      <c r="I200" s="107"/>
      <c r="J200" s="107"/>
    </row>
    <row r="201" spans="6:10" x14ac:dyDescent="0.2">
      <c r="F201" s="107"/>
      <c r="G201" s="107"/>
      <c r="H201" s="107"/>
      <c r="I201" s="107"/>
      <c r="J201" s="107"/>
    </row>
    <row r="202" spans="6:10" x14ac:dyDescent="0.2">
      <c r="F202" s="107"/>
      <c r="G202" s="107"/>
      <c r="H202" s="107"/>
      <c r="I202" s="107"/>
      <c r="J202" s="107"/>
    </row>
    <row r="203" spans="6:10" x14ac:dyDescent="0.2">
      <c r="F203" s="107"/>
      <c r="G203" s="107"/>
      <c r="H203" s="107"/>
      <c r="I203" s="107"/>
      <c r="J203" s="107"/>
    </row>
    <row r="204" spans="6:10" x14ac:dyDescent="0.2">
      <c r="F204" s="107"/>
      <c r="G204" s="107"/>
      <c r="H204" s="107"/>
      <c r="I204" s="107"/>
      <c r="J204" s="107"/>
    </row>
    <row r="205" spans="6:10" x14ac:dyDescent="0.2">
      <c r="F205" s="107"/>
      <c r="G205" s="107"/>
      <c r="H205" s="107"/>
      <c r="I205" s="107"/>
      <c r="J205" s="107"/>
    </row>
    <row r="206" spans="6:10" x14ac:dyDescent="0.2">
      <c r="F206" s="107"/>
      <c r="G206" s="107"/>
      <c r="H206" s="107"/>
      <c r="I206" s="107"/>
      <c r="J206" s="107"/>
    </row>
    <row r="207" spans="6:10" x14ac:dyDescent="0.2">
      <c r="F207" s="107"/>
      <c r="G207" s="107"/>
      <c r="H207" s="107"/>
      <c r="I207" s="107"/>
      <c r="J207" s="107"/>
    </row>
    <row r="208" spans="6:10" x14ac:dyDescent="0.2">
      <c r="F208" s="107"/>
      <c r="G208" s="107"/>
      <c r="H208" s="107"/>
      <c r="I208" s="107"/>
      <c r="J208" s="107"/>
    </row>
    <row r="209" spans="6:10" x14ac:dyDescent="0.2">
      <c r="F209" s="107"/>
      <c r="G209" s="107"/>
      <c r="H209" s="107"/>
      <c r="I209" s="107"/>
      <c r="J209" s="107"/>
    </row>
    <row r="210" spans="6:10" x14ac:dyDescent="0.2">
      <c r="F210" s="107"/>
      <c r="G210" s="107"/>
      <c r="H210" s="107"/>
      <c r="I210" s="107"/>
      <c r="J210" s="107"/>
    </row>
    <row r="211" spans="6:10" x14ac:dyDescent="0.2">
      <c r="F211" s="107"/>
      <c r="G211" s="107"/>
      <c r="H211" s="107"/>
      <c r="I211" s="107"/>
      <c r="J211" s="107"/>
    </row>
    <row r="212" spans="6:10" x14ac:dyDescent="0.2">
      <c r="F212" s="107"/>
      <c r="G212" s="107"/>
      <c r="H212" s="107"/>
      <c r="I212" s="107"/>
      <c r="J212" s="107"/>
    </row>
    <row r="213" spans="6:10" x14ac:dyDescent="0.2">
      <c r="F213" s="107"/>
      <c r="G213" s="107"/>
      <c r="H213" s="107"/>
      <c r="I213" s="107"/>
      <c r="J213" s="107"/>
    </row>
    <row r="214" spans="6:10" x14ac:dyDescent="0.2">
      <c r="F214" s="107"/>
      <c r="G214" s="107"/>
      <c r="H214" s="107"/>
      <c r="I214" s="107"/>
      <c r="J214" s="107"/>
    </row>
    <row r="215" spans="6:10" x14ac:dyDescent="0.2">
      <c r="F215" s="107"/>
      <c r="G215" s="107"/>
      <c r="H215" s="107"/>
      <c r="I215" s="107"/>
      <c r="J215" s="107"/>
    </row>
    <row r="216" spans="6:10" x14ac:dyDescent="0.2">
      <c r="F216" s="107"/>
      <c r="G216" s="107"/>
      <c r="H216" s="107"/>
      <c r="I216" s="107"/>
      <c r="J216" s="107"/>
    </row>
    <row r="217" spans="6:10" x14ac:dyDescent="0.2">
      <c r="F217" s="107"/>
      <c r="G217" s="107"/>
      <c r="H217" s="107"/>
      <c r="I217" s="107"/>
      <c r="J217" s="107"/>
    </row>
    <row r="218" spans="6:10" x14ac:dyDescent="0.2">
      <c r="F218" s="107"/>
      <c r="G218" s="107"/>
      <c r="H218" s="107"/>
      <c r="I218" s="107"/>
      <c r="J218" s="107"/>
    </row>
    <row r="219" spans="6:10" x14ac:dyDescent="0.2">
      <c r="F219" s="107"/>
      <c r="G219" s="107"/>
      <c r="H219" s="107"/>
      <c r="I219" s="107"/>
      <c r="J219" s="107"/>
    </row>
    <row r="220" spans="6:10" x14ac:dyDescent="0.2">
      <c r="F220" s="107"/>
      <c r="G220" s="107"/>
      <c r="H220" s="107"/>
      <c r="I220" s="107"/>
      <c r="J220" s="107"/>
    </row>
    <row r="221" spans="6:10" x14ac:dyDescent="0.2">
      <c r="F221" s="107"/>
      <c r="G221" s="107"/>
      <c r="H221" s="107"/>
      <c r="I221" s="107"/>
      <c r="J221" s="107"/>
    </row>
    <row r="222" spans="6:10" x14ac:dyDescent="0.2">
      <c r="F222" s="107"/>
      <c r="G222" s="107"/>
      <c r="H222" s="107"/>
      <c r="I222" s="107"/>
      <c r="J222" s="107"/>
    </row>
    <row r="223" spans="6:10" x14ac:dyDescent="0.2">
      <c r="F223" s="107"/>
      <c r="G223" s="107"/>
      <c r="H223" s="107"/>
      <c r="I223" s="107"/>
      <c r="J223" s="107"/>
    </row>
    <row r="224" spans="6:10" x14ac:dyDescent="0.2">
      <c r="F224" s="107"/>
      <c r="G224" s="107"/>
      <c r="H224" s="107"/>
      <c r="I224" s="107"/>
      <c r="J224" s="107"/>
    </row>
    <row r="225" spans="6:10" x14ac:dyDescent="0.2">
      <c r="F225" s="107"/>
      <c r="G225" s="107"/>
      <c r="H225" s="107"/>
      <c r="I225" s="107"/>
      <c r="J225" s="107"/>
    </row>
    <row r="226" spans="6:10" x14ac:dyDescent="0.2">
      <c r="F226" s="107"/>
      <c r="G226" s="107"/>
      <c r="H226" s="107"/>
      <c r="I226" s="107"/>
      <c r="J226" s="107"/>
    </row>
    <row r="227" spans="6:10" x14ac:dyDescent="0.2">
      <c r="F227" s="107"/>
      <c r="G227" s="107"/>
      <c r="H227" s="107"/>
      <c r="I227" s="107"/>
      <c r="J227" s="107"/>
    </row>
    <row r="228" spans="6:10" x14ac:dyDescent="0.2">
      <c r="F228" s="107"/>
      <c r="G228" s="107"/>
      <c r="H228" s="107"/>
      <c r="I228" s="107"/>
      <c r="J228" s="107"/>
    </row>
    <row r="229" spans="6:10" x14ac:dyDescent="0.2">
      <c r="F229" s="107"/>
      <c r="G229" s="107"/>
      <c r="H229" s="107"/>
      <c r="I229" s="107"/>
      <c r="J229" s="107"/>
    </row>
    <row r="230" spans="6:10" x14ac:dyDescent="0.2">
      <c r="F230" s="107"/>
      <c r="G230" s="107"/>
      <c r="H230" s="107"/>
      <c r="I230" s="107"/>
      <c r="J230" s="107"/>
    </row>
    <row r="231" spans="6:10" x14ac:dyDescent="0.2">
      <c r="F231" s="107"/>
      <c r="G231" s="107"/>
      <c r="H231" s="107"/>
      <c r="I231" s="107"/>
      <c r="J231" s="107"/>
    </row>
    <row r="232" spans="6:10" x14ac:dyDescent="0.2">
      <c r="F232" s="107"/>
      <c r="G232" s="107"/>
      <c r="H232" s="107"/>
      <c r="I232" s="107"/>
      <c r="J232" s="107"/>
    </row>
    <row r="233" spans="6:10" x14ac:dyDescent="0.2">
      <c r="F233" s="107"/>
      <c r="G233" s="107"/>
      <c r="H233" s="107"/>
      <c r="I233" s="107"/>
      <c r="J233" s="107"/>
    </row>
    <row r="234" spans="6:10" x14ac:dyDescent="0.2">
      <c r="F234" s="107"/>
      <c r="G234" s="107"/>
      <c r="H234" s="107"/>
      <c r="I234" s="107"/>
      <c r="J234" s="107"/>
    </row>
    <row r="235" spans="6:10" x14ac:dyDescent="0.2">
      <c r="F235" s="107"/>
      <c r="G235" s="107"/>
      <c r="H235" s="107"/>
      <c r="I235" s="107"/>
      <c r="J235" s="107"/>
    </row>
    <row r="236" spans="6:10" x14ac:dyDescent="0.2">
      <c r="F236" s="107"/>
      <c r="G236" s="107"/>
      <c r="H236" s="107"/>
      <c r="I236" s="107"/>
      <c r="J236" s="107"/>
    </row>
    <row r="237" spans="6:10" x14ac:dyDescent="0.2">
      <c r="F237" s="107"/>
      <c r="G237" s="107"/>
      <c r="H237" s="107"/>
      <c r="I237" s="107"/>
      <c r="J237" s="107"/>
    </row>
    <row r="238" spans="6:10" x14ac:dyDescent="0.2">
      <c r="F238" s="107"/>
      <c r="G238" s="107"/>
      <c r="H238" s="107"/>
      <c r="I238" s="107"/>
      <c r="J238" s="107"/>
    </row>
    <row r="239" spans="6:10" x14ac:dyDescent="0.2">
      <c r="F239" s="107"/>
      <c r="G239" s="107"/>
      <c r="H239" s="107"/>
      <c r="I239" s="107"/>
      <c r="J239" s="107"/>
    </row>
    <row r="240" spans="6:10" x14ac:dyDescent="0.2">
      <c r="F240" s="107"/>
      <c r="G240" s="107"/>
      <c r="H240" s="107"/>
      <c r="I240" s="107"/>
      <c r="J240" s="107"/>
    </row>
    <row r="241" spans="6:10" x14ac:dyDescent="0.2">
      <c r="F241" s="107"/>
      <c r="G241" s="107"/>
      <c r="H241" s="107"/>
      <c r="I241" s="107"/>
      <c r="J241" s="107"/>
    </row>
    <row r="242" spans="6:10" x14ac:dyDescent="0.2">
      <c r="F242" s="107"/>
      <c r="G242" s="107"/>
      <c r="H242" s="107"/>
      <c r="I242" s="107"/>
      <c r="J242" s="107"/>
    </row>
    <row r="243" spans="6:10" x14ac:dyDescent="0.2">
      <c r="F243" s="107"/>
      <c r="G243" s="107"/>
      <c r="H243" s="107"/>
      <c r="I243" s="107"/>
      <c r="J243" s="107"/>
    </row>
    <row r="244" spans="6:10" x14ac:dyDescent="0.2">
      <c r="F244" s="107"/>
      <c r="G244" s="107"/>
      <c r="H244" s="107"/>
      <c r="I244" s="107"/>
      <c r="J244" s="107"/>
    </row>
    <row r="245" spans="6:10" x14ac:dyDescent="0.2">
      <c r="F245" s="107"/>
      <c r="G245" s="107"/>
      <c r="H245" s="107"/>
      <c r="I245" s="107"/>
      <c r="J245" s="107"/>
    </row>
    <row r="246" spans="6:10" x14ac:dyDescent="0.2">
      <c r="F246" s="107"/>
      <c r="G246" s="107"/>
      <c r="H246" s="107"/>
      <c r="I246" s="107"/>
      <c r="J246" s="107"/>
    </row>
    <row r="247" spans="6:10" x14ac:dyDescent="0.2">
      <c r="F247" s="107"/>
      <c r="G247" s="107"/>
      <c r="H247" s="107"/>
      <c r="I247" s="107"/>
      <c r="J247" s="107"/>
    </row>
    <row r="248" spans="6:10" x14ac:dyDescent="0.2">
      <c r="F248" s="107"/>
      <c r="G248" s="107"/>
      <c r="H248" s="107"/>
      <c r="I248" s="107"/>
      <c r="J248" s="107"/>
    </row>
    <row r="249" spans="6:10" x14ac:dyDescent="0.2">
      <c r="F249" s="107"/>
      <c r="G249" s="107"/>
      <c r="H249" s="107"/>
      <c r="I249" s="107"/>
      <c r="J249" s="107"/>
    </row>
    <row r="250" spans="6:10" x14ac:dyDescent="0.2">
      <c r="F250" s="107"/>
      <c r="G250" s="107"/>
      <c r="H250" s="107"/>
      <c r="I250" s="107"/>
      <c r="J250" s="107"/>
    </row>
    <row r="251" spans="6:10" x14ac:dyDescent="0.2">
      <c r="F251" s="107"/>
      <c r="G251" s="107"/>
      <c r="H251" s="107"/>
      <c r="I251" s="107"/>
      <c r="J251" s="107"/>
    </row>
    <row r="252" spans="6:10" x14ac:dyDescent="0.2">
      <c r="F252" s="107"/>
      <c r="G252" s="107"/>
      <c r="H252" s="107"/>
      <c r="I252" s="107"/>
      <c r="J252" s="107"/>
    </row>
    <row r="253" spans="6:10" x14ac:dyDescent="0.2">
      <c r="F253" s="107"/>
      <c r="G253" s="107"/>
      <c r="H253" s="107"/>
      <c r="I253" s="107"/>
      <c r="J253" s="107"/>
    </row>
    <row r="254" spans="6:10" x14ac:dyDescent="0.2">
      <c r="F254" s="107"/>
      <c r="G254" s="107"/>
      <c r="H254" s="107"/>
      <c r="I254" s="107"/>
      <c r="J254" s="107"/>
    </row>
    <row r="255" spans="6:10" x14ac:dyDescent="0.2">
      <c r="F255" s="107"/>
      <c r="G255" s="107"/>
      <c r="H255" s="107"/>
      <c r="I255" s="107"/>
      <c r="J255" s="107"/>
    </row>
    <row r="256" spans="6:10" x14ac:dyDescent="0.2">
      <c r="F256" s="107"/>
      <c r="G256" s="107"/>
      <c r="H256" s="107"/>
      <c r="I256" s="107"/>
      <c r="J256" s="107"/>
    </row>
    <row r="257" spans="6:10" x14ac:dyDescent="0.2">
      <c r="F257" s="107"/>
      <c r="G257" s="107"/>
      <c r="H257" s="107"/>
      <c r="I257" s="107"/>
      <c r="J257" s="107"/>
    </row>
    <row r="258" spans="6:10" x14ac:dyDescent="0.2">
      <c r="F258" s="107"/>
      <c r="G258" s="107"/>
      <c r="H258" s="107"/>
      <c r="I258" s="107"/>
      <c r="J258" s="107"/>
    </row>
    <row r="259" spans="6:10" x14ac:dyDescent="0.2">
      <c r="F259" s="107"/>
      <c r="G259" s="107"/>
      <c r="H259" s="107"/>
      <c r="I259" s="107"/>
      <c r="J259" s="107"/>
    </row>
    <row r="260" spans="6:10" x14ac:dyDescent="0.2">
      <c r="F260" s="107"/>
      <c r="G260" s="107"/>
      <c r="H260" s="107"/>
      <c r="I260" s="107"/>
      <c r="J260" s="107"/>
    </row>
    <row r="261" spans="6:10" x14ac:dyDescent="0.2">
      <c r="F261" s="107"/>
      <c r="G261" s="107"/>
      <c r="H261" s="107"/>
      <c r="I261" s="107"/>
      <c r="J261" s="107"/>
    </row>
    <row r="262" spans="6:10" x14ac:dyDescent="0.2">
      <c r="F262" s="107"/>
      <c r="G262" s="107"/>
      <c r="H262" s="107"/>
      <c r="I262" s="107"/>
      <c r="J262" s="107"/>
    </row>
    <row r="263" spans="6:10" x14ac:dyDescent="0.2">
      <c r="F263" s="107"/>
      <c r="G263" s="107"/>
      <c r="H263" s="107"/>
      <c r="I263" s="107"/>
      <c r="J263" s="107"/>
    </row>
    <row r="264" spans="6:10" x14ac:dyDescent="0.2">
      <c r="F264" s="107"/>
      <c r="G264" s="107"/>
      <c r="H264" s="107"/>
      <c r="I264" s="107"/>
      <c r="J264" s="107"/>
    </row>
    <row r="265" spans="6:10" x14ac:dyDescent="0.2">
      <c r="F265" s="107"/>
      <c r="G265" s="107"/>
      <c r="H265" s="107"/>
      <c r="I265" s="107"/>
      <c r="J265" s="107"/>
    </row>
    <row r="266" spans="6:10" x14ac:dyDescent="0.2">
      <c r="F266" s="107"/>
      <c r="G266" s="107"/>
      <c r="H266" s="107"/>
      <c r="I266" s="107"/>
      <c r="J266" s="107"/>
    </row>
    <row r="267" spans="6:10" x14ac:dyDescent="0.2">
      <c r="F267" s="107"/>
      <c r="G267" s="107"/>
      <c r="H267" s="107"/>
      <c r="I267" s="107"/>
      <c r="J267" s="107"/>
    </row>
    <row r="268" spans="6:10" x14ac:dyDescent="0.2">
      <c r="F268" s="107"/>
      <c r="G268" s="107"/>
      <c r="H268" s="107"/>
      <c r="I268" s="107"/>
      <c r="J268" s="107"/>
    </row>
    <row r="269" spans="6:10" x14ac:dyDescent="0.2">
      <c r="F269" s="107"/>
      <c r="G269" s="107"/>
      <c r="H269" s="107"/>
      <c r="I269" s="107"/>
      <c r="J269" s="107"/>
    </row>
    <row r="270" spans="6:10" x14ac:dyDescent="0.2">
      <c r="F270" s="107"/>
      <c r="G270" s="107"/>
      <c r="H270" s="107"/>
      <c r="I270" s="107"/>
      <c r="J270" s="107"/>
    </row>
    <row r="271" spans="6:10" x14ac:dyDescent="0.2">
      <c r="F271" s="107"/>
      <c r="G271" s="107"/>
      <c r="H271" s="107"/>
      <c r="I271" s="107"/>
      <c r="J271" s="107"/>
    </row>
    <row r="272" spans="6:10" x14ac:dyDescent="0.2">
      <c r="F272" s="107"/>
      <c r="G272" s="107"/>
      <c r="H272" s="107"/>
      <c r="I272" s="107"/>
      <c r="J272" s="107"/>
    </row>
    <row r="273" spans="6:10" x14ac:dyDescent="0.2">
      <c r="F273" s="107"/>
      <c r="G273" s="107"/>
      <c r="H273" s="107"/>
      <c r="I273" s="107"/>
      <c r="J273" s="107"/>
    </row>
    <row r="274" spans="6:10" x14ac:dyDescent="0.2">
      <c r="F274" s="107"/>
      <c r="G274" s="107"/>
      <c r="H274" s="107"/>
      <c r="I274" s="107"/>
      <c r="J274" s="107"/>
    </row>
    <row r="275" spans="6:10" x14ac:dyDescent="0.2">
      <c r="F275" s="107"/>
      <c r="G275" s="107"/>
      <c r="H275" s="107"/>
      <c r="I275" s="107"/>
      <c r="J275" s="107"/>
    </row>
    <row r="276" spans="6:10" x14ac:dyDescent="0.2">
      <c r="F276" s="107"/>
      <c r="G276" s="107"/>
      <c r="H276" s="107"/>
      <c r="I276" s="107"/>
      <c r="J276" s="107"/>
    </row>
    <row r="277" spans="6:10" x14ac:dyDescent="0.2">
      <c r="F277" s="107"/>
      <c r="G277" s="107"/>
      <c r="H277" s="107"/>
      <c r="I277" s="107"/>
      <c r="J277" s="107"/>
    </row>
    <row r="278" spans="6:10" x14ac:dyDescent="0.2">
      <c r="F278" s="107"/>
      <c r="G278" s="107"/>
      <c r="H278" s="107"/>
      <c r="I278" s="107"/>
      <c r="J278" s="107"/>
    </row>
    <row r="279" spans="6:10" x14ac:dyDescent="0.2">
      <c r="F279" s="107"/>
      <c r="G279" s="107"/>
      <c r="H279" s="107"/>
      <c r="I279" s="107"/>
      <c r="J279" s="107"/>
    </row>
    <row r="280" spans="6:10" x14ac:dyDescent="0.2">
      <c r="F280" s="107"/>
      <c r="G280" s="107"/>
      <c r="H280" s="107"/>
      <c r="I280" s="107"/>
      <c r="J280" s="107"/>
    </row>
    <row r="281" spans="6:10" x14ac:dyDescent="0.2">
      <c r="F281" s="107"/>
      <c r="G281" s="107"/>
      <c r="H281" s="107"/>
      <c r="I281" s="107"/>
      <c r="J281" s="107"/>
    </row>
    <row r="282" spans="6:10" x14ac:dyDescent="0.2">
      <c r="F282" s="107"/>
      <c r="G282" s="107"/>
      <c r="H282" s="107"/>
      <c r="I282" s="107"/>
      <c r="J282" s="107"/>
    </row>
    <row r="283" spans="6:10" x14ac:dyDescent="0.2">
      <c r="F283" s="107"/>
      <c r="G283" s="107"/>
      <c r="H283" s="107"/>
      <c r="I283" s="107"/>
      <c r="J283" s="107"/>
    </row>
    <row r="284" spans="6:10" x14ac:dyDescent="0.2">
      <c r="F284" s="107"/>
      <c r="G284" s="107"/>
      <c r="H284" s="107"/>
      <c r="I284" s="107"/>
      <c r="J284" s="107"/>
    </row>
    <row r="285" spans="6:10" x14ac:dyDescent="0.2">
      <c r="F285" s="107"/>
      <c r="G285" s="107"/>
      <c r="H285" s="107"/>
      <c r="I285" s="107"/>
      <c r="J285" s="107"/>
    </row>
    <row r="286" spans="6:10" x14ac:dyDescent="0.2">
      <c r="F286" s="107"/>
      <c r="G286" s="107"/>
      <c r="H286" s="107"/>
      <c r="I286" s="107"/>
      <c r="J286" s="107"/>
    </row>
    <row r="287" spans="6:10" x14ac:dyDescent="0.2">
      <c r="F287" s="107"/>
      <c r="G287" s="107"/>
      <c r="H287" s="107"/>
      <c r="I287" s="107"/>
      <c r="J287" s="107"/>
    </row>
    <row r="288" spans="6:10" x14ac:dyDescent="0.2">
      <c r="F288" s="107"/>
      <c r="G288" s="107"/>
      <c r="H288" s="107"/>
      <c r="I288" s="107"/>
      <c r="J288" s="107"/>
    </row>
    <row r="289" spans="6:10" x14ac:dyDescent="0.2">
      <c r="F289" s="107"/>
      <c r="G289" s="107"/>
      <c r="H289" s="107"/>
      <c r="I289" s="107"/>
      <c r="J289" s="107"/>
    </row>
    <row r="290" spans="6:10" x14ac:dyDescent="0.2">
      <c r="F290" s="107"/>
      <c r="G290" s="107"/>
      <c r="H290" s="107"/>
      <c r="I290" s="107"/>
      <c r="J290" s="107"/>
    </row>
    <row r="291" spans="6:10" x14ac:dyDescent="0.2">
      <c r="F291" s="107"/>
      <c r="G291" s="107"/>
      <c r="H291" s="107"/>
      <c r="I291" s="107"/>
      <c r="J291" s="107"/>
    </row>
    <row r="292" spans="6:10" x14ac:dyDescent="0.2">
      <c r="F292" s="107"/>
      <c r="G292" s="107"/>
      <c r="H292" s="107"/>
      <c r="I292" s="107"/>
      <c r="J292" s="107"/>
    </row>
    <row r="293" spans="6:10" x14ac:dyDescent="0.2">
      <c r="F293" s="107"/>
      <c r="G293" s="107"/>
      <c r="H293" s="107"/>
      <c r="I293" s="107"/>
      <c r="J293" s="107"/>
    </row>
    <row r="294" spans="6:10" x14ac:dyDescent="0.2">
      <c r="F294" s="107"/>
      <c r="G294" s="107"/>
      <c r="H294" s="107"/>
      <c r="I294" s="107"/>
      <c r="J294" s="107"/>
    </row>
    <row r="295" spans="6:10" x14ac:dyDescent="0.2">
      <c r="F295" s="107"/>
      <c r="G295" s="107"/>
      <c r="H295" s="107"/>
      <c r="I295" s="107"/>
      <c r="J295" s="107"/>
    </row>
    <row r="296" spans="6:10" x14ac:dyDescent="0.2">
      <c r="F296" s="107"/>
      <c r="G296" s="107"/>
      <c r="H296" s="107"/>
      <c r="I296" s="107"/>
      <c r="J296" s="107"/>
    </row>
    <row r="297" spans="6:10" x14ac:dyDescent="0.2">
      <c r="F297" s="107"/>
      <c r="G297" s="107"/>
      <c r="H297" s="107"/>
      <c r="I297" s="107"/>
      <c r="J297" s="107"/>
    </row>
    <row r="298" spans="6:10" x14ac:dyDescent="0.2">
      <c r="F298" s="107"/>
      <c r="G298" s="107"/>
      <c r="H298" s="107"/>
      <c r="I298" s="107"/>
      <c r="J298" s="107"/>
    </row>
    <row r="299" spans="6:10" x14ac:dyDescent="0.2">
      <c r="F299" s="107"/>
      <c r="G299" s="107"/>
      <c r="H299" s="107"/>
      <c r="I299" s="107"/>
      <c r="J299" s="107"/>
    </row>
    <row r="300" spans="6:10" x14ac:dyDescent="0.2">
      <c r="F300" s="107"/>
      <c r="G300" s="107"/>
      <c r="H300" s="107"/>
      <c r="I300" s="107"/>
      <c r="J300" s="107"/>
    </row>
    <row r="301" spans="6:10" x14ac:dyDescent="0.2">
      <c r="F301" s="107"/>
      <c r="G301" s="107"/>
      <c r="H301" s="107"/>
      <c r="I301" s="107"/>
      <c r="J301" s="107"/>
    </row>
    <row r="302" spans="6:10" x14ac:dyDescent="0.2">
      <c r="F302" s="107"/>
      <c r="G302" s="107"/>
      <c r="H302" s="107"/>
      <c r="I302" s="107"/>
      <c r="J302" s="107"/>
    </row>
    <row r="303" spans="6:10" x14ac:dyDescent="0.2">
      <c r="F303" s="107"/>
      <c r="G303" s="107"/>
      <c r="H303" s="107"/>
      <c r="I303" s="107"/>
      <c r="J303" s="107"/>
    </row>
    <row r="304" spans="6:10" x14ac:dyDescent="0.2">
      <c r="F304" s="107"/>
      <c r="G304" s="107"/>
      <c r="H304" s="107"/>
      <c r="I304" s="107"/>
      <c r="J304" s="107"/>
    </row>
    <row r="305" spans="6:10" x14ac:dyDescent="0.2">
      <c r="F305" s="107"/>
      <c r="G305" s="107"/>
      <c r="H305" s="107"/>
      <c r="I305" s="107"/>
      <c r="J305" s="107"/>
    </row>
    <row r="306" spans="6:10" x14ac:dyDescent="0.2">
      <c r="F306" s="107"/>
      <c r="G306" s="107"/>
      <c r="H306" s="107"/>
      <c r="I306" s="107"/>
      <c r="J306" s="107"/>
    </row>
    <row r="307" spans="6:10" x14ac:dyDescent="0.2">
      <c r="F307" s="107"/>
      <c r="G307" s="107"/>
      <c r="H307" s="107"/>
      <c r="I307" s="107"/>
      <c r="J307" s="107"/>
    </row>
    <row r="308" spans="6:10" x14ac:dyDescent="0.2">
      <c r="F308" s="107"/>
      <c r="G308" s="107"/>
      <c r="H308" s="107"/>
      <c r="I308" s="107"/>
      <c r="J308" s="107"/>
    </row>
    <row r="309" spans="6:10" x14ac:dyDescent="0.2">
      <c r="F309" s="107"/>
      <c r="G309" s="107"/>
      <c r="H309" s="107"/>
      <c r="I309" s="107"/>
      <c r="J309" s="107"/>
    </row>
    <row r="310" spans="6:10" x14ac:dyDescent="0.2">
      <c r="F310" s="107"/>
      <c r="G310" s="107"/>
      <c r="H310" s="107"/>
      <c r="I310" s="107"/>
      <c r="J310" s="107"/>
    </row>
    <row r="311" spans="6:10" x14ac:dyDescent="0.2">
      <c r="F311" s="107"/>
      <c r="G311" s="107"/>
      <c r="H311" s="107"/>
      <c r="I311" s="107"/>
      <c r="J311" s="107"/>
    </row>
    <row r="312" spans="6:10" x14ac:dyDescent="0.2">
      <c r="F312" s="107"/>
      <c r="G312" s="107"/>
      <c r="H312" s="107"/>
      <c r="I312" s="107"/>
      <c r="J312" s="107"/>
    </row>
    <row r="313" spans="6:10" x14ac:dyDescent="0.2">
      <c r="F313" s="107"/>
      <c r="G313" s="107"/>
      <c r="H313" s="107"/>
      <c r="I313" s="107"/>
      <c r="J313" s="107"/>
    </row>
    <row r="314" spans="6:10" x14ac:dyDescent="0.2">
      <c r="F314" s="107"/>
      <c r="G314" s="107"/>
      <c r="H314" s="107"/>
      <c r="I314" s="107"/>
      <c r="J314" s="107"/>
    </row>
    <row r="315" spans="6:10" x14ac:dyDescent="0.2">
      <c r="F315" s="107"/>
      <c r="G315" s="107"/>
      <c r="H315" s="107"/>
      <c r="I315" s="107"/>
      <c r="J315" s="107"/>
    </row>
    <row r="316" spans="6:10" x14ac:dyDescent="0.2">
      <c r="F316" s="107"/>
      <c r="G316" s="107"/>
      <c r="H316" s="107"/>
      <c r="I316" s="107"/>
      <c r="J316" s="107"/>
    </row>
    <row r="317" spans="6:10" x14ac:dyDescent="0.2">
      <c r="F317" s="107"/>
      <c r="G317" s="107"/>
      <c r="H317" s="107"/>
      <c r="I317" s="107"/>
      <c r="J317" s="107"/>
    </row>
    <row r="318" spans="6:10" x14ac:dyDescent="0.2">
      <c r="F318" s="107"/>
      <c r="G318" s="107"/>
      <c r="H318" s="107"/>
      <c r="I318" s="107"/>
      <c r="J318" s="107"/>
    </row>
    <row r="319" spans="6:10" x14ac:dyDescent="0.2">
      <c r="F319" s="107"/>
      <c r="G319" s="107"/>
      <c r="H319" s="107"/>
      <c r="I319" s="107"/>
      <c r="J319" s="107"/>
    </row>
    <row r="320" spans="6:10" x14ac:dyDescent="0.2">
      <c r="F320" s="107"/>
      <c r="G320" s="107"/>
      <c r="H320" s="107"/>
      <c r="I320" s="107"/>
      <c r="J320" s="107"/>
    </row>
    <row r="321" spans="6:10" x14ac:dyDescent="0.2">
      <c r="F321" s="107"/>
      <c r="G321" s="107"/>
      <c r="H321" s="107"/>
      <c r="I321" s="107"/>
      <c r="J321" s="107"/>
    </row>
    <row r="322" spans="6:10" x14ac:dyDescent="0.2">
      <c r="F322" s="107"/>
      <c r="G322" s="107"/>
      <c r="H322" s="107"/>
      <c r="I322" s="107"/>
      <c r="J322" s="107"/>
    </row>
    <row r="323" spans="6:10" x14ac:dyDescent="0.2">
      <c r="F323" s="107"/>
      <c r="G323" s="107"/>
      <c r="H323" s="107"/>
      <c r="I323" s="107"/>
      <c r="J323" s="107"/>
    </row>
    <row r="324" spans="6:10" x14ac:dyDescent="0.2">
      <c r="F324" s="107"/>
      <c r="G324" s="107"/>
      <c r="H324" s="107"/>
      <c r="I324" s="107"/>
      <c r="J324" s="107"/>
    </row>
    <row r="325" spans="6:10" x14ac:dyDescent="0.2">
      <c r="F325" s="107"/>
      <c r="G325" s="107"/>
      <c r="H325" s="107"/>
      <c r="I325" s="107"/>
      <c r="J325" s="107"/>
    </row>
    <row r="326" spans="6:10" x14ac:dyDescent="0.2">
      <c r="F326" s="107"/>
      <c r="G326" s="107"/>
      <c r="H326" s="107"/>
      <c r="I326" s="107"/>
      <c r="J326" s="107"/>
    </row>
    <row r="327" spans="6:10" x14ac:dyDescent="0.2">
      <c r="F327" s="107"/>
      <c r="G327" s="107"/>
      <c r="H327" s="107"/>
      <c r="I327" s="107"/>
      <c r="J327" s="107"/>
    </row>
    <row r="328" spans="6:10" x14ac:dyDescent="0.2">
      <c r="F328" s="107"/>
      <c r="G328" s="107"/>
      <c r="H328" s="107"/>
      <c r="I328" s="107"/>
      <c r="J328" s="107"/>
    </row>
    <row r="329" spans="6:10" x14ac:dyDescent="0.2">
      <c r="F329" s="107"/>
      <c r="G329" s="107"/>
      <c r="H329" s="107"/>
      <c r="I329" s="107"/>
      <c r="J329" s="107"/>
    </row>
    <row r="330" spans="6:10" x14ac:dyDescent="0.2">
      <c r="F330" s="107"/>
      <c r="G330" s="107"/>
      <c r="H330" s="107"/>
      <c r="I330" s="107"/>
      <c r="J330" s="107"/>
    </row>
    <row r="331" spans="6:10" x14ac:dyDescent="0.2">
      <c r="F331" s="107"/>
      <c r="G331" s="107"/>
      <c r="H331" s="107"/>
      <c r="I331" s="107"/>
      <c r="J331" s="107"/>
    </row>
    <row r="332" spans="6:10" x14ac:dyDescent="0.2">
      <c r="F332" s="107"/>
      <c r="G332" s="107"/>
      <c r="H332" s="107"/>
      <c r="I332" s="107"/>
      <c r="J332" s="107"/>
    </row>
    <row r="333" spans="6:10" x14ac:dyDescent="0.2">
      <c r="F333" s="107"/>
      <c r="G333" s="107"/>
      <c r="H333" s="107"/>
      <c r="I333" s="107"/>
      <c r="J333" s="107"/>
    </row>
    <row r="334" spans="6:10" x14ac:dyDescent="0.2">
      <c r="F334" s="107"/>
      <c r="G334" s="107"/>
      <c r="H334" s="107"/>
      <c r="I334" s="107"/>
      <c r="J334" s="107"/>
    </row>
    <row r="335" spans="6:10" x14ac:dyDescent="0.2">
      <c r="F335" s="107"/>
      <c r="G335" s="107"/>
      <c r="H335" s="107"/>
      <c r="I335" s="107"/>
      <c r="J335" s="107"/>
    </row>
    <row r="336" spans="6:10" x14ac:dyDescent="0.2">
      <c r="F336" s="107"/>
      <c r="G336" s="107"/>
      <c r="H336" s="107"/>
      <c r="I336" s="107"/>
      <c r="J336" s="107"/>
    </row>
    <row r="337" spans="6:10" x14ac:dyDescent="0.2">
      <c r="F337" s="107"/>
      <c r="G337" s="107"/>
      <c r="H337" s="107"/>
      <c r="I337" s="107"/>
      <c r="J337" s="107"/>
    </row>
    <row r="338" spans="6:10" x14ac:dyDescent="0.2">
      <c r="F338" s="107"/>
      <c r="G338" s="107"/>
      <c r="H338" s="107"/>
      <c r="I338" s="107"/>
      <c r="J338" s="107"/>
    </row>
    <row r="339" spans="6:10" x14ac:dyDescent="0.2">
      <c r="F339" s="107"/>
      <c r="G339" s="107"/>
      <c r="H339" s="107"/>
      <c r="I339" s="107"/>
      <c r="J339" s="107"/>
    </row>
    <row r="340" spans="6:10" x14ac:dyDescent="0.2">
      <c r="F340" s="107"/>
      <c r="G340" s="107"/>
      <c r="H340" s="107"/>
      <c r="I340" s="107"/>
      <c r="J340" s="107"/>
    </row>
    <row r="341" spans="6:10" x14ac:dyDescent="0.2">
      <c r="F341" s="107"/>
      <c r="G341" s="107"/>
      <c r="H341" s="107"/>
      <c r="I341" s="107"/>
      <c r="J341" s="107"/>
    </row>
    <row r="342" spans="6:10" x14ac:dyDescent="0.2">
      <c r="F342" s="107"/>
      <c r="G342" s="107"/>
      <c r="H342" s="107"/>
      <c r="I342" s="107"/>
      <c r="J342" s="107"/>
    </row>
    <row r="343" spans="6:10" x14ac:dyDescent="0.2">
      <c r="F343" s="107"/>
      <c r="G343" s="107"/>
      <c r="H343" s="107"/>
      <c r="I343" s="107"/>
      <c r="J343" s="107"/>
    </row>
    <row r="344" spans="6:10" x14ac:dyDescent="0.2">
      <c r="F344" s="107"/>
      <c r="G344" s="107"/>
      <c r="H344" s="107"/>
      <c r="I344" s="107"/>
      <c r="J344" s="107"/>
    </row>
    <row r="345" spans="6:10" x14ac:dyDescent="0.2">
      <c r="F345" s="107"/>
      <c r="G345" s="107"/>
      <c r="H345" s="107"/>
      <c r="I345" s="107"/>
      <c r="J345" s="107"/>
    </row>
    <row r="346" spans="6:10" x14ac:dyDescent="0.2">
      <c r="F346" s="107"/>
      <c r="G346" s="107"/>
      <c r="H346" s="107"/>
      <c r="I346" s="107"/>
      <c r="J346" s="107"/>
    </row>
    <row r="347" spans="6:10" x14ac:dyDescent="0.2">
      <c r="F347" s="107"/>
      <c r="G347" s="107"/>
      <c r="H347" s="107"/>
      <c r="I347" s="107"/>
      <c r="J347" s="107"/>
    </row>
    <row r="348" spans="6:10" x14ac:dyDescent="0.2">
      <c r="F348" s="107"/>
      <c r="G348" s="107"/>
      <c r="H348" s="107"/>
      <c r="I348" s="107"/>
      <c r="J348" s="107"/>
    </row>
    <row r="349" spans="6:10" x14ac:dyDescent="0.2">
      <c r="F349" s="107"/>
      <c r="G349" s="107"/>
      <c r="H349" s="107"/>
      <c r="I349" s="107"/>
      <c r="J349" s="107"/>
    </row>
    <row r="350" spans="6:10" x14ac:dyDescent="0.2">
      <c r="F350" s="107"/>
      <c r="G350" s="107"/>
      <c r="H350" s="107"/>
      <c r="I350" s="107"/>
      <c r="J350" s="107"/>
    </row>
    <row r="351" spans="6:10" x14ac:dyDescent="0.2">
      <c r="F351" s="107"/>
      <c r="G351" s="107"/>
      <c r="H351" s="107"/>
      <c r="I351" s="107"/>
      <c r="J351" s="107"/>
    </row>
    <row r="352" spans="6:10" x14ac:dyDescent="0.2">
      <c r="F352" s="107"/>
      <c r="G352" s="107"/>
      <c r="H352" s="107"/>
      <c r="I352" s="107"/>
      <c r="J352" s="107"/>
    </row>
    <row r="353" spans="6:10" x14ac:dyDescent="0.2">
      <c r="F353" s="107"/>
      <c r="G353" s="107"/>
      <c r="H353" s="107"/>
      <c r="I353" s="107"/>
      <c r="J353" s="107"/>
    </row>
    <row r="354" spans="6:10" x14ac:dyDescent="0.2">
      <c r="F354" s="107"/>
      <c r="G354" s="107"/>
      <c r="H354" s="107"/>
      <c r="I354" s="107"/>
      <c r="J354" s="107"/>
    </row>
    <row r="355" spans="6:10" x14ac:dyDescent="0.2">
      <c r="F355" s="107"/>
      <c r="G355" s="107"/>
      <c r="H355" s="107"/>
      <c r="I355" s="107"/>
      <c r="J355" s="107"/>
    </row>
    <row r="356" spans="6:10" x14ac:dyDescent="0.2">
      <c r="F356" s="107"/>
      <c r="G356" s="107"/>
      <c r="H356" s="107"/>
      <c r="I356" s="107"/>
      <c r="J356" s="107"/>
    </row>
    <row r="357" spans="6:10" x14ac:dyDescent="0.2">
      <c r="F357" s="107"/>
      <c r="G357" s="107"/>
      <c r="H357" s="107"/>
      <c r="I357" s="107"/>
      <c r="J357" s="107"/>
    </row>
    <row r="358" spans="6:10" x14ac:dyDescent="0.2">
      <c r="F358" s="107"/>
      <c r="G358" s="107"/>
      <c r="H358" s="107"/>
      <c r="I358" s="107"/>
      <c r="J358" s="107"/>
    </row>
    <row r="359" spans="6:10" x14ac:dyDescent="0.2">
      <c r="F359" s="107"/>
      <c r="G359" s="107"/>
      <c r="H359" s="107"/>
      <c r="I359" s="107"/>
      <c r="J359" s="107"/>
    </row>
    <row r="360" spans="6:10" x14ac:dyDescent="0.2">
      <c r="F360" s="107"/>
      <c r="G360" s="107"/>
      <c r="H360" s="107"/>
      <c r="I360" s="107"/>
      <c r="J360" s="107"/>
    </row>
    <row r="361" spans="6:10" x14ac:dyDescent="0.2">
      <c r="F361" s="107"/>
      <c r="G361" s="107"/>
      <c r="H361" s="107"/>
      <c r="I361" s="107"/>
      <c r="J361" s="107"/>
    </row>
    <row r="362" spans="6:10" x14ac:dyDescent="0.2">
      <c r="F362" s="107"/>
      <c r="G362" s="107"/>
      <c r="H362" s="107"/>
      <c r="I362" s="107"/>
      <c r="J362" s="107"/>
    </row>
    <row r="363" spans="6:10" x14ac:dyDescent="0.2">
      <c r="F363" s="107"/>
      <c r="G363" s="107"/>
      <c r="H363" s="107"/>
      <c r="I363" s="107"/>
      <c r="J363" s="107"/>
    </row>
    <row r="364" spans="6:10" x14ac:dyDescent="0.2">
      <c r="F364" s="107"/>
      <c r="G364" s="107"/>
      <c r="H364" s="107"/>
      <c r="I364" s="107"/>
      <c r="J364" s="107"/>
    </row>
    <row r="365" spans="6:10" x14ac:dyDescent="0.2">
      <c r="F365" s="107"/>
      <c r="G365" s="107"/>
      <c r="H365" s="107"/>
      <c r="I365" s="107"/>
      <c r="J365" s="107"/>
    </row>
    <row r="366" spans="6:10" x14ac:dyDescent="0.2">
      <c r="F366" s="107"/>
      <c r="G366" s="107"/>
      <c r="H366" s="107"/>
      <c r="I366" s="107"/>
      <c r="J366" s="107"/>
    </row>
    <row r="367" spans="6:10" x14ac:dyDescent="0.2">
      <c r="F367" s="107"/>
      <c r="G367" s="107"/>
      <c r="H367" s="107"/>
      <c r="I367" s="107"/>
      <c r="J367" s="107"/>
    </row>
    <row r="368" spans="6:10" x14ac:dyDescent="0.2">
      <c r="F368" s="107"/>
      <c r="G368" s="107"/>
      <c r="H368" s="107"/>
      <c r="I368" s="107"/>
      <c r="J368" s="107"/>
    </row>
    <row r="369" spans="6:10" x14ac:dyDescent="0.2">
      <c r="F369" s="107"/>
      <c r="G369" s="107"/>
      <c r="H369" s="107"/>
      <c r="I369" s="107"/>
      <c r="J369" s="107"/>
    </row>
    <row r="370" spans="6:10" x14ac:dyDescent="0.2">
      <c r="F370" s="107"/>
      <c r="G370" s="107"/>
      <c r="H370" s="107"/>
      <c r="I370" s="107"/>
      <c r="J370" s="107"/>
    </row>
    <row r="371" spans="6:10" x14ac:dyDescent="0.2">
      <c r="F371" s="107"/>
      <c r="G371" s="107"/>
      <c r="H371" s="107"/>
      <c r="I371" s="107"/>
      <c r="J371" s="107"/>
    </row>
    <row r="372" spans="6:10" x14ac:dyDescent="0.2">
      <c r="F372" s="107"/>
      <c r="G372" s="107"/>
      <c r="H372" s="107"/>
      <c r="I372" s="107"/>
      <c r="J372" s="107"/>
    </row>
    <row r="373" spans="6:10" x14ac:dyDescent="0.2">
      <c r="F373" s="107"/>
      <c r="G373" s="107"/>
      <c r="H373" s="107"/>
      <c r="I373" s="107"/>
      <c r="J373" s="107"/>
    </row>
    <row r="374" spans="6:10" x14ac:dyDescent="0.2">
      <c r="F374" s="107"/>
      <c r="G374" s="107"/>
      <c r="H374" s="107"/>
      <c r="I374" s="107"/>
      <c r="J374" s="107"/>
    </row>
    <row r="375" spans="6:10" x14ac:dyDescent="0.2">
      <c r="F375" s="107"/>
      <c r="G375" s="107"/>
      <c r="H375" s="107"/>
      <c r="I375" s="107"/>
      <c r="J375" s="107"/>
    </row>
    <row r="376" spans="6:10" x14ac:dyDescent="0.2">
      <c r="F376" s="107"/>
      <c r="G376" s="107"/>
      <c r="H376" s="107"/>
      <c r="I376" s="107"/>
      <c r="J376" s="107"/>
    </row>
    <row r="377" spans="6:10" x14ac:dyDescent="0.2">
      <c r="F377" s="107"/>
      <c r="G377" s="107"/>
      <c r="H377" s="107"/>
      <c r="I377" s="107"/>
      <c r="J377" s="107"/>
    </row>
    <row r="378" spans="6:10" x14ac:dyDescent="0.2">
      <c r="F378" s="107"/>
      <c r="G378" s="107"/>
      <c r="H378" s="107"/>
      <c r="I378" s="107"/>
      <c r="J378" s="107"/>
    </row>
    <row r="379" spans="6:10" x14ac:dyDescent="0.2">
      <c r="F379" s="107"/>
      <c r="G379" s="107"/>
      <c r="H379" s="107"/>
      <c r="I379" s="107"/>
      <c r="J379" s="107"/>
    </row>
    <row r="380" spans="6:10" x14ac:dyDescent="0.2">
      <c r="F380" s="107"/>
      <c r="G380" s="107"/>
      <c r="H380" s="107"/>
      <c r="I380" s="107"/>
      <c r="J380" s="107"/>
    </row>
    <row r="381" spans="6:10" x14ac:dyDescent="0.2">
      <c r="F381" s="107"/>
      <c r="G381" s="107"/>
      <c r="H381" s="107"/>
      <c r="I381" s="107"/>
      <c r="J381" s="107"/>
    </row>
    <row r="382" spans="6:10" x14ac:dyDescent="0.2">
      <c r="F382" s="107"/>
      <c r="G382" s="107"/>
      <c r="H382" s="107"/>
      <c r="I382" s="107"/>
      <c r="J382" s="107"/>
    </row>
    <row r="383" spans="6:10" x14ac:dyDescent="0.2">
      <c r="F383" s="107"/>
      <c r="G383" s="107"/>
      <c r="H383" s="107"/>
      <c r="I383" s="107"/>
      <c r="J383" s="107"/>
    </row>
    <row r="384" spans="6:10" x14ac:dyDescent="0.2">
      <c r="F384" s="107"/>
      <c r="G384" s="107"/>
      <c r="H384" s="107"/>
      <c r="I384" s="107"/>
      <c r="J384" s="107"/>
    </row>
    <row r="385" spans="6:10" x14ac:dyDescent="0.2">
      <c r="F385" s="107"/>
      <c r="G385" s="107"/>
      <c r="H385" s="107"/>
      <c r="I385" s="107"/>
      <c r="J385" s="107"/>
    </row>
    <row r="386" spans="6:10" x14ac:dyDescent="0.2">
      <c r="F386" s="107"/>
      <c r="G386" s="107"/>
      <c r="H386" s="107"/>
      <c r="I386" s="107"/>
      <c r="J386" s="107"/>
    </row>
    <row r="387" spans="6:10" x14ac:dyDescent="0.2">
      <c r="F387" s="107"/>
      <c r="G387" s="107"/>
      <c r="H387" s="107"/>
      <c r="I387" s="107"/>
      <c r="J387" s="107"/>
    </row>
    <row r="388" spans="6:10" x14ac:dyDescent="0.2">
      <c r="F388" s="107"/>
      <c r="G388" s="107"/>
      <c r="H388" s="107"/>
      <c r="I388" s="107"/>
      <c r="J388" s="107"/>
    </row>
    <row r="389" spans="6:10" x14ac:dyDescent="0.2">
      <c r="F389" s="107"/>
      <c r="G389" s="107"/>
      <c r="H389" s="107"/>
      <c r="I389" s="107"/>
      <c r="J389" s="107"/>
    </row>
    <row r="390" spans="6:10" x14ac:dyDescent="0.2">
      <c r="F390" s="107"/>
      <c r="G390" s="107"/>
      <c r="H390" s="107"/>
      <c r="I390" s="107"/>
      <c r="J390" s="107"/>
    </row>
    <row r="391" spans="6:10" x14ac:dyDescent="0.2">
      <c r="F391" s="107"/>
      <c r="G391" s="107"/>
      <c r="H391" s="107"/>
      <c r="I391" s="107"/>
      <c r="J391" s="107"/>
    </row>
    <row r="392" spans="6:10" x14ac:dyDescent="0.2">
      <c r="F392" s="107"/>
      <c r="G392" s="107"/>
      <c r="H392" s="107"/>
      <c r="I392" s="107"/>
      <c r="J392" s="107"/>
    </row>
    <row r="393" spans="6:10" x14ac:dyDescent="0.2">
      <c r="F393" s="107"/>
      <c r="G393" s="107"/>
      <c r="H393" s="107"/>
      <c r="I393" s="107"/>
      <c r="J393" s="107"/>
    </row>
    <row r="394" spans="6:10" x14ac:dyDescent="0.2">
      <c r="F394" s="107"/>
      <c r="G394" s="107"/>
      <c r="H394" s="107"/>
      <c r="I394" s="107"/>
      <c r="J394" s="107"/>
    </row>
    <row r="395" spans="6:10" x14ac:dyDescent="0.2">
      <c r="F395" s="107"/>
      <c r="G395" s="107"/>
      <c r="H395" s="107"/>
      <c r="I395" s="107"/>
      <c r="J395" s="107"/>
    </row>
    <row r="396" spans="6:10" x14ac:dyDescent="0.2">
      <c r="F396" s="107"/>
      <c r="G396" s="107"/>
      <c r="H396" s="107"/>
      <c r="I396" s="107"/>
      <c r="J396" s="107"/>
    </row>
    <row r="397" spans="6:10" x14ac:dyDescent="0.2">
      <c r="F397" s="107"/>
      <c r="G397" s="107"/>
      <c r="H397" s="107"/>
      <c r="I397" s="107"/>
      <c r="J397" s="107"/>
    </row>
    <row r="398" spans="6:10" x14ac:dyDescent="0.2">
      <c r="F398" s="107"/>
      <c r="G398" s="107"/>
      <c r="H398" s="107"/>
      <c r="I398" s="107"/>
      <c r="J398" s="107"/>
    </row>
    <row r="399" spans="6:10" x14ac:dyDescent="0.2">
      <c r="F399" s="107"/>
      <c r="G399" s="107"/>
      <c r="H399" s="107"/>
      <c r="I399" s="107"/>
      <c r="J399" s="107"/>
    </row>
    <row r="400" spans="6:10" x14ac:dyDescent="0.2">
      <c r="F400" s="107"/>
      <c r="G400" s="107"/>
      <c r="H400" s="107"/>
      <c r="I400" s="107"/>
      <c r="J400" s="107"/>
    </row>
    <row r="401" spans="6:10" x14ac:dyDescent="0.2">
      <c r="F401" s="107"/>
      <c r="G401" s="107"/>
      <c r="H401" s="107"/>
      <c r="I401" s="107"/>
      <c r="J401" s="107"/>
    </row>
    <row r="402" spans="6:10" x14ac:dyDescent="0.2">
      <c r="F402" s="107"/>
      <c r="G402" s="107"/>
      <c r="H402" s="107"/>
      <c r="I402" s="107"/>
      <c r="J402" s="107"/>
    </row>
    <row r="403" spans="6:10" x14ac:dyDescent="0.2">
      <c r="F403" s="107"/>
      <c r="G403" s="107"/>
      <c r="H403" s="107"/>
      <c r="I403" s="107"/>
      <c r="J403" s="107"/>
    </row>
    <row r="404" spans="6:10" x14ac:dyDescent="0.2">
      <c r="F404" s="107"/>
      <c r="G404" s="107"/>
      <c r="H404" s="107"/>
      <c r="I404" s="107"/>
      <c r="J404" s="107"/>
    </row>
    <row r="405" spans="6:10" x14ac:dyDescent="0.2">
      <c r="F405" s="107"/>
      <c r="G405" s="107"/>
      <c r="H405" s="107"/>
      <c r="I405" s="107"/>
      <c r="J405" s="107"/>
    </row>
    <row r="406" spans="6:10" x14ac:dyDescent="0.2">
      <c r="F406" s="107"/>
      <c r="G406" s="107"/>
      <c r="H406" s="107"/>
      <c r="I406" s="107"/>
      <c r="J406" s="107"/>
    </row>
    <row r="407" spans="6:10" x14ac:dyDescent="0.2">
      <c r="F407" s="107"/>
      <c r="G407" s="107"/>
      <c r="H407" s="107"/>
      <c r="I407" s="107"/>
      <c r="J407" s="107"/>
    </row>
    <row r="408" spans="6:10" x14ac:dyDescent="0.2">
      <c r="F408" s="107"/>
      <c r="G408" s="107"/>
      <c r="H408" s="107"/>
      <c r="I408" s="107"/>
      <c r="J408" s="107"/>
    </row>
    <row r="409" spans="6:10" x14ac:dyDescent="0.2">
      <c r="F409" s="107"/>
      <c r="G409" s="107"/>
      <c r="H409" s="107"/>
      <c r="I409" s="107"/>
      <c r="J409" s="107"/>
    </row>
    <row r="410" spans="6:10" x14ac:dyDescent="0.2">
      <c r="F410" s="107"/>
      <c r="G410" s="107"/>
      <c r="H410" s="107"/>
      <c r="I410" s="107"/>
      <c r="J410" s="107"/>
    </row>
    <row r="411" spans="6:10" x14ac:dyDescent="0.2">
      <c r="F411" s="107"/>
      <c r="G411" s="107"/>
      <c r="H411" s="107"/>
      <c r="I411" s="107"/>
      <c r="J411" s="107"/>
    </row>
    <row r="412" spans="6:10" x14ac:dyDescent="0.2">
      <c r="F412" s="107"/>
      <c r="G412" s="107"/>
      <c r="H412" s="107"/>
      <c r="I412" s="107"/>
      <c r="J412" s="107"/>
    </row>
    <row r="413" spans="6:10" x14ac:dyDescent="0.2">
      <c r="F413" s="107"/>
      <c r="G413" s="107"/>
      <c r="H413" s="107"/>
      <c r="I413" s="107"/>
      <c r="J413" s="107"/>
    </row>
    <row r="414" spans="6:10" x14ac:dyDescent="0.2">
      <c r="F414" s="107"/>
      <c r="G414" s="107"/>
      <c r="H414" s="107"/>
      <c r="I414" s="107"/>
      <c r="J414" s="107"/>
    </row>
    <row r="415" spans="6:10" x14ac:dyDescent="0.2">
      <c r="F415" s="107"/>
      <c r="G415" s="107"/>
      <c r="H415" s="107"/>
      <c r="I415" s="107"/>
      <c r="J415" s="107"/>
    </row>
    <row r="416" spans="6:10" x14ac:dyDescent="0.2">
      <c r="F416" s="107"/>
      <c r="G416" s="107"/>
      <c r="H416" s="107"/>
      <c r="I416" s="107"/>
      <c r="J416" s="107"/>
    </row>
    <row r="417" spans="6:10" x14ac:dyDescent="0.2">
      <c r="F417" s="107"/>
      <c r="G417" s="107"/>
      <c r="H417" s="107"/>
      <c r="I417" s="107"/>
      <c r="J417" s="107"/>
    </row>
    <row r="418" spans="6:10" x14ac:dyDescent="0.2">
      <c r="F418" s="107"/>
      <c r="G418" s="107"/>
      <c r="H418" s="107"/>
      <c r="I418" s="107"/>
      <c r="J418" s="107"/>
    </row>
    <row r="419" spans="6:10" x14ac:dyDescent="0.2">
      <c r="F419" s="107"/>
      <c r="G419" s="107"/>
      <c r="H419" s="107"/>
      <c r="I419" s="107"/>
      <c r="J419" s="107"/>
    </row>
    <row r="420" spans="6:10" x14ac:dyDescent="0.2">
      <c r="F420" s="107"/>
      <c r="G420" s="107"/>
      <c r="H420" s="107"/>
      <c r="I420" s="107"/>
      <c r="J420" s="107"/>
    </row>
    <row r="421" spans="6:10" x14ac:dyDescent="0.2">
      <c r="F421" s="107"/>
      <c r="G421" s="107"/>
      <c r="H421" s="107"/>
      <c r="I421" s="107"/>
      <c r="J421" s="107"/>
    </row>
    <row r="422" spans="6:10" x14ac:dyDescent="0.2">
      <c r="F422" s="107"/>
      <c r="G422" s="107"/>
      <c r="H422" s="107"/>
      <c r="I422" s="107"/>
      <c r="J422" s="107"/>
    </row>
    <row r="423" spans="6:10" x14ac:dyDescent="0.2">
      <c r="F423" s="107"/>
      <c r="G423" s="107"/>
      <c r="H423" s="107"/>
      <c r="I423" s="107"/>
      <c r="J423" s="107"/>
    </row>
    <row r="424" spans="6:10" x14ac:dyDescent="0.2">
      <c r="F424" s="107"/>
      <c r="G424" s="107"/>
      <c r="H424" s="107"/>
      <c r="I424" s="107"/>
      <c r="J424" s="107"/>
    </row>
    <row r="425" spans="6:10" x14ac:dyDescent="0.2">
      <c r="F425" s="107"/>
      <c r="G425" s="107"/>
      <c r="H425" s="107"/>
      <c r="I425" s="107"/>
      <c r="J425" s="107"/>
    </row>
    <row r="426" spans="6:10" x14ac:dyDescent="0.2">
      <c r="F426" s="107"/>
      <c r="G426" s="107"/>
      <c r="H426" s="107"/>
      <c r="I426" s="107"/>
      <c r="J426" s="107"/>
    </row>
    <row r="427" spans="6:10" x14ac:dyDescent="0.2">
      <c r="F427" s="107"/>
      <c r="G427" s="107"/>
      <c r="H427" s="107"/>
      <c r="I427" s="107"/>
      <c r="J427" s="107"/>
    </row>
    <row r="428" spans="6:10" x14ac:dyDescent="0.2">
      <c r="F428" s="107"/>
      <c r="G428" s="107"/>
      <c r="H428" s="107"/>
      <c r="I428" s="107"/>
      <c r="J428" s="107"/>
    </row>
    <row r="429" spans="6:10" x14ac:dyDescent="0.2">
      <c r="F429" s="107"/>
      <c r="G429" s="107"/>
      <c r="H429" s="107"/>
      <c r="I429" s="107"/>
      <c r="J429" s="107"/>
    </row>
    <row r="430" spans="6:10" x14ac:dyDescent="0.2">
      <c r="F430" s="107"/>
      <c r="G430" s="107"/>
      <c r="H430" s="107"/>
      <c r="I430" s="107"/>
      <c r="J430" s="107"/>
    </row>
    <row r="431" spans="6:10" x14ac:dyDescent="0.2">
      <c r="F431" s="107"/>
      <c r="G431" s="107"/>
      <c r="H431" s="107"/>
      <c r="I431" s="107"/>
      <c r="J431" s="107"/>
    </row>
    <row r="432" spans="6:10" x14ac:dyDescent="0.2">
      <c r="F432" s="107"/>
      <c r="G432" s="107"/>
      <c r="H432" s="107"/>
      <c r="I432" s="107"/>
      <c r="J432" s="107"/>
    </row>
    <row r="433" spans="6:10" x14ac:dyDescent="0.2">
      <c r="F433" s="107"/>
      <c r="G433" s="107"/>
      <c r="H433" s="107"/>
      <c r="I433" s="107"/>
      <c r="J433" s="107"/>
    </row>
    <row r="434" spans="6:10" x14ac:dyDescent="0.2">
      <c r="F434" s="107"/>
      <c r="G434" s="107"/>
      <c r="H434" s="107"/>
      <c r="I434" s="107"/>
      <c r="J434" s="107"/>
    </row>
    <row r="435" spans="6:10" x14ac:dyDescent="0.2">
      <c r="F435" s="107"/>
      <c r="G435" s="107"/>
      <c r="H435" s="107"/>
      <c r="I435" s="107"/>
      <c r="J435" s="107"/>
    </row>
    <row r="436" spans="6:10" x14ac:dyDescent="0.2">
      <c r="F436" s="107"/>
      <c r="G436" s="107"/>
      <c r="H436" s="107"/>
      <c r="I436" s="107"/>
      <c r="J436" s="107"/>
    </row>
    <row r="437" spans="6:10" x14ac:dyDescent="0.2">
      <c r="F437" s="107"/>
      <c r="G437" s="107"/>
      <c r="H437" s="107"/>
      <c r="I437" s="107"/>
      <c r="J437" s="107"/>
    </row>
    <row r="438" spans="6:10" x14ac:dyDescent="0.2">
      <c r="F438" s="107"/>
      <c r="G438" s="107"/>
      <c r="H438" s="107"/>
      <c r="I438" s="107"/>
      <c r="J438" s="107"/>
    </row>
    <row r="439" spans="6:10" x14ac:dyDescent="0.2">
      <c r="F439" s="107"/>
      <c r="G439" s="107"/>
      <c r="H439" s="107"/>
      <c r="I439" s="107"/>
      <c r="J439" s="107"/>
    </row>
    <row r="440" spans="6:10" x14ac:dyDescent="0.2">
      <c r="F440" s="107"/>
      <c r="G440" s="107"/>
      <c r="H440" s="107"/>
      <c r="I440" s="107"/>
      <c r="J440" s="107"/>
    </row>
    <row r="441" spans="6:10" x14ac:dyDescent="0.2">
      <c r="F441" s="107"/>
      <c r="G441" s="107"/>
      <c r="H441" s="107"/>
      <c r="I441" s="107"/>
      <c r="J441" s="107"/>
    </row>
    <row r="442" spans="6:10" x14ac:dyDescent="0.2">
      <c r="F442" s="107"/>
      <c r="G442" s="107"/>
      <c r="H442" s="107"/>
      <c r="I442" s="107"/>
      <c r="J442" s="107"/>
    </row>
    <row r="443" spans="6:10" x14ac:dyDescent="0.2">
      <c r="F443" s="107"/>
      <c r="G443" s="107"/>
      <c r="H443" s="107"/>
      <c r="I443" s="107"/>
      <c r="J443" s="107"/>
    </row>
    <row r="444" spans="6:10" x14ac:dyDescent="0.2">
      <c r="F444" s="107"/>
      <c r="G444" s="107"/>
      <c r="H444" s="107"/>
      <c r="I444" s="107"/>
      <c r="J444" s="107"/>
    </row>
    <row r="445" spans="6:10" x14ac:dyDescent="0.2">
      <c r="F445" s="107"/>
      <c r="G445" s="107"/>
      <c r="H445" s="107"/>
      <c r="I445" s="107"/>
      <c r="J445" s="107"/>
    </row>
    <row r="446" spans="6:10" x14ac:dyDescent="0.2">
      <c r="F446" s="107"/>
      <c r="G446" s="107"/>
      <c r="H446" s="107"/>
      <c r="I446" s="107"/>
      <c r="J446" s="107"/>
    </row>
    <row r="447" spans="6:10" x14ac:dyDescent="0.2">
      <c r="F447" s="107"/>
      <c r="G447" s="107"/>
      <c r="H447" s="107"/>
      <c r="I447" s="107"/>
      <c r="J447" s="107"/>
    </row>
    <row r="448" spans="6:10" x14ac:dyDescent="0.2">
      <c r="F448" s="107"/>
      <c r="G448" s="107"/>
      <c r="H448" s="107"/>
      <c r="I448" s="107"/>
      <c r="J448" s="107"/>
    </row>
    <row r="449" spans="6:10" x14ac:dyDescent="0.2">
      <c r="F449" s="107"/>
      <c r="G449" s="107"/>
      <c r="H449" s="107"/>
      <c r="I449" s="107"/>
      <c r="J449" s="107"/>
    </row>
    <row r="450" spans="6:10" x14ac:dyDescent="0.2">
      <c r="F450" s="107"/>
      <c r="G450" s="107"/>
      <c r="H450" s="107"/>
      <c r="I450" s="107"/>
      <c r="J450" s="107"/>
    </row>
    <row r="451" spans="6:10" x14ac:dyDescent="0.2">
      <c r="F451" s="107"/>
      <c r="G451" s="107"/>
      <c r="H451" s="107"/>
      <c r="I451" s="107"/>
      <c r="J451" s="107"/>
    </row>
    <row r="452" spans="6:10" x14ac:dyDescent="0.2">
      <c r="F452" s="107"/>
      <c r="G452" s="107"/>
      <c r="H452" s="107"/>
      <c r="I452" s="107"/>
      <c r="J452" s="107"/>
    </row>
    <row r="453" spans="6:10" x14ac:dyDescent="0.2">
      <c r="F453" s="107"/>
      <c r="G453" s="107"/>
      <c r="H453" s="107"/>
      <c r="I453" s="107"/>
      <c r="J453" s="107"/>
    </row>
    <row r="454" spans="6:10" x14ac:dyDescent="0.2">
      <c r="F454" s="107"/>
      <c r="G454" s="107"/>
      <c r="H454" s="107"/>
      <c r="I454" s="107"/>
      <c r="J454" s="107"/>
    </row>
    <row r="455" spans="6:10" x14ac:dyDescent="0.2">
      <c r="F455" s="107"/>
      <c r="G455" s="107"/>
      <c r="H455" s="107"/>
      <c r="I455" s="107"/>
      <c r="J455" s="107"/>
    </row>
    <row r="456" spans="6:10" x14ac:dyDescent="0.2">
      <c r="F456" s="107"/>
      <c r="G456" s="107"/>
      <c r="H456" s="107"/>
      <c r="I456" s="107"/>
      <c r="J456" s="107"/>
    </row>
    <row r="457" spans="6:10" x14ac:dyDescent="0.2">
      <c r="F457" s="107"/>
      <c r="G457" s="107"/>
      <c r="H457" s="107"/>
      <c r="I457" s="107"/>
      <c r="J457" s="107"/>
    </row>
    <row r="458" spans="6:10" x14ac:dyDescent="0.2">
      <c r="F458" s="107"/>
      <c r="G458" s="107"/>
      <c r="H458" s="107"/>
      <c r="I458" s="107"/>
      <c r="J458" s="107"/>
    </row>
    <row r="459" spans="6:10" x14ac:dyDescent="0.2">
      <c r="F459" s="107"/>
      <c r="G459" s="107"/>
      <c r="H459" s="107"/>
      <c r="I459" s="107"/>
      <c r="J459" s="107"/>
    </row>
    <row r="460" spans="6:10" x14ac:dyDescent="0.2">
      <c r="F460" s="107"/>
      <c r="G460" s="107"/>
      <c r="H460" s="107"/>
      <c r="I460" s="107"/>
      <c r="J460" s="107"/>
    </row>
    <row r="461" spans="6:10" x14ac:dyDescent="0.2">
      <c r="F461" s="107"/>
      <c r="G461" s="107"/>
      <c r="H461" s="107"/>
      <c r="I461" s="107"/>
      <c r="J461" s="107"/>
    </row>
    <row r="462" spans="6:10" x14ac:dyDescent="0.2">
      <c r="F462" s="107"/>
      <c r="G462" s="107"/>
      <c r="H462" s="107"/>
      <c r="I462" s="107"/>
      <c r="J462" s="107"/>
    </row>
    <row r="463" spans="6:10" x14ac:dyDescent="0.2">
      <c r="F463" s="107"/>
      <c r="G463" s="107"/>
      <c r="H463" s="107"/>
      <c r="I463" s="107"/>
      <c r="J463" s="107"/>
    </row>
    <row r="464" spans="6:10" x14ac:dyDescent="0.2">
      <c r="F464" s="107"/>
      <c r="G464" s="107"/>
      <c r="H464" s="107"/>
      <c r="I464" s="107"/>
      <c r="J464" s="107"/>
    </row>
    <row r="465" spans="6:10" x14ac:dyDescent="0.2">
      <c r="F465" s="107"/>
      <c r="G465" s="107"/>
      <c r="H465" s="107"/>
      <c r="I465" s="107"/>
      <c r="J465" s="107"/>
    </row>
    <row r="466" spans="6:10" x14ac:dyDescent="0.2">
      <c r="F466" s="107"/>
      <c r="G466" s="107"/>
      <c r="H466" s="107"/>
      <c r="I466" s="107"/>
      <c r="J466" s="107"/>
    </row>
    <row r="467" spans="6:10" x14ac:dyDescent="0.2">
      <c r="F467" s="107"/>
      <c r="G467" s="107"/>
      <c r="H467" s="107"/>
      <c r="I467" s="107"/>
      <c r="J467" s="107"/>
    </row>
    <row r="468" spans="6:10" x14ac:dyDescent="0.2">
      <c r="F468" s="107"/>
      <c r="G468" s="107"/>
      <c r="H468" s="107"/>
      <c r="I468" s="107"/>
      <c r="J468" s="107"/>
    </row>
    <row r="469" spans="6:10" x14ac:dyDescent="0.2">
      <c r="F469" s="107"/>
      <c r="G469" s="107"/>
      <c r="H469" s="107"/>
      <c r="I469" s="107"/>
      <c r="J469" s="107"/>
    </row>
    <row r="470" spans="6:10" x14ac:dyDescent="0.2">
      <c r="F470" s="107"/>
      <c r="G470" s="107"/>
      <c r="H470" s="107"/>
      <c r="I470" s="107"/>
      <c r="J470" s="107"/>
    </row>
    <row r="471" spans="6:10" x14ac:dyDescent="0.2">
      <c r="F471" s="107"/>
      <c r="G471" s="107"/>
      <c r="H471" s="107"/>
      <c r="I471" s="107"/>
      <c r="J471" s="107"/>
    </row>
    <row r="472" spans="6:10" x14ac:dyDescent="0.2">
      <c r="F472" s="107"/>
      <c r="G472" s="107"/>
      <c r="H472" s="107"/>
      <c r="I472" s="107"/>
      <c r="J472" s="107"/>
    </row>
    <row r="473" spans="6:10" x14ac:dyDescent="0.2">
      <c r="F473" s="107"/>
      <c r="G473" s="107"/>
      <c r="H473" s="107"/>
      <c r="I473" s="107"/>
      <c r="J473" s="107"/>
    </row>
    <row r="474" spans="6:10" x14ac:dyDescent="0.2">
      <c r="F474" s="107"/>
      <c r="G474" s="107"/>
      <c r="H474" s="107"/>
      <c r="I474" s="107"/>
      <c r="J474" s="107"/>
    </row>
    <row r="475" spans="6:10" x14ac:dyDescent="0.2">
      <c r="F475" s="107"/>
      <c r="G475" s="107"/>
      <c r="H475" s="107"/>
      <c r="I475" s="107"/>
      <c r="J475" s="107"/>
    </row>
    <row r="476" spans="6:10" x14ac:dyDescent="0.2">
      <c r="F476" s="107"/>
      <c r="G476" s="107"/>
      <c r="H476" s="107"/>
      <c r="I476" s="107"/>
      <c r="J476" s="107"/>
    </row>
    <row r="477" spans="6:10" x14ac:dyDescent="0.2">
      <c r="F477" s="107"/>
      <c r="G477" s="107"/>
      <c r="H477" s="107"/>
      <c r="I477" s="107"/>
      <c r="J477" s="107"/>
    </row>
    <row r="478" spans="6:10" x14ac:dyDescent="0.2">
      <c r="F478" s="107"/>
      <c r="G478" s="107"/>
      <c r="H478" s="107"/>
      <c r="I478" s="107"/>
      <c r="J478" s="107"/>
    </row>
    <row r="479" spans="6:10" x14ac:dyDescent="0.2">
      <c r="F479" s="107"/>
      <c r="G479" s="107"/>
      <c r="H479" s="107"/>
      <c r="I479" s="107"/>
      <c r="J479" s="107"/>
    </row>
    <row r="480" spans="6:10" x14ac:dyDescent="0.2">
      <c r="F480" s="107"/>
      <c r="G480" s="107"/>
      <c r="H480" s="107"/>
      <c r="I480" s="107"/>
      <c r="J480" s="107"/>
    </row>
    <row r="481" spans="6:10" x14ac:dyDescent="0.2">
      <c r="F481" s="107"/>
      <c r="G481" s="107"/>
      <c r="H481" s="107"/>
      <c r="I481" s="107"/>
      <c r="J481" s="107"/>
    </row>
    <row r="482" spans="6:10" x14ac:dyDescent="0.2">
      <c r="F482" s="107"/>
      <c r="G482" s="107"/>
      <c r="H482" s="107"/>
      <c r="I482" s="107"/>
      <c r="J482" s="107"/>
    </row>
    <row r="483" spans="6:10" x14ac:dyDescent="0.2">
      <c r="F483" s="107"/>
      <c r="G483" s="107"/>
      <c r="H483" s="107"/>
      <c r="I483" s="107"/>
      <c r="J483" s="107"/>
    </row>
    <row r="484" spans="6:10" x14ac:dyDescent="0.2">
      <c r="F484" s="107"/>
      <c r="G484" s="107"/>
      <c r="H484" s="107"/>
      <c r="I484" s="107"/>
      <c r="J484" s="107"/>
    </row>
    <row r="485" spans="6:10" x14ac:dyDescent="0.2">
      <c r="F485" s="107"/>
      <c r="G485" s="107"/>
      <c r="H485" s="107"/>
      <c r="I485" s="107"/>
      <c r="J485" s="107"/>
    </row>
    <row r="486" spans="6:10" x14ac:dyDescent="0.2">
      <c r="F486" s="107"/>
      <c r="G486" s="107"/>
      <c r="H486" s="107"/>
      <c r="I486" s="107"/>
      <c r="J486" s="107"/>
    </row>
    <row r="487" spans="6:10" x14ac:dyDescent="0.2">
      <c r="F487" s="107"/>
      <c r="G487" s="107"/>
      <c r="H487" s="107"/>
      <c r="I487" s="107"/>
      <c r="J487" s="107"/>
    </row>
    <row r="488" spans="6:10" x14ac:dyDescent="0.2">
      <c r="F488" s="107"/>
      <c r="G488" s="107"/>
      <c r="H488" s="107"/>
      <c r="I488" s="107"/>
      <c r="J488" s="107"/>
    </row>
    <row r="489" spans="6:10" x14ac:dyDescent="0.2">
      <c r="F489" s="107"/>
      <c r="G489" s="107"/>
      <c r="H489" s="107"/>
      <c r="I489" s="107"/>
      <c r="J489" s="107"/>
    </row>
    <row r="490" spans="6:10" x14ac:dyDescent="0.2">
      <c r="F490" s="107"/>
      <c r="G490" s="107"/>
      <c r="H490" s="107"/>
      <c r="I490" s="107"/>
      <c r="J490" s="107"/>
    </row>
    <row r="491" spans="6:10" x14ac:dyDescent="0.2">
      <c r="F491" s="107"/>
      <c r="G491" s="107"/>
      <c r="H491" s="107"/>
      <c r="I491" s="107"/>
      <c r="J491" s="107"/>
    </row>
    <row r="492" spans="6:10" x14ac:dyDescent="0.2">
      <c r="F492" s="107"/>
      <c r="G492" s="107"/>
      <c r="H492" s="107"/>
      <c r="I492" s="107"/>
      <c r="J492" s="107"/>
    </row>
    <row r="493" spans="6:10" x14ac:dyDescent="0.2">
      <c r="F493" s="107"/>
      <c r="G493" s="107"/>
      <c r="H493" s="107"/>
      <c r="I493" s="107"/>
      <c r="J493" s="107"/>
    </row>
    <row r="494" spans="6:10" x14ac:dyDescent="0.2">
      <c r="F494" s="107"/>
      <c r="G494" s="107"/>
      <c r="H494" s="107"/>
      <c r="I494" s="107"/>
      <c r="J494" s="107"/>
    </row>
    <row r="495" spans="6:10" x14ac:dyDescent="0.2">
      <c r="F495" s="107"/>
      <c r="G495" s="107"/>
      <c r="H495" s="107"/>
      <c r="I495" s="107"/>
      <c r="J495" s="107"/>
    </row>
    <row r="496" spans="6:10" x14ac:dyDescent="0.2">
      <c r="F496" s="107"/>
      <c r="G496" s="107"/>
      <c r="H496" s="107"/>
      <c r="I496" s="107"/>
      <c r="J496" s="107"/>
    </row>
    <row r="497" spans="6:10" x14ac:dyDescent="0.2">
      <c r="F497" s="107"/>
      <c r="G497" s="107"/>
      <c r="H497" s="107"/>
      <c r="I497" s="107"/>
      <c r="J497" s="107"/>
    </row>
    <row r="498" spans="6:10" x14ac:dyDescent="0.2">
      <c r="F498" s="107"/>
      <c r="G498" s="107"/>
      <c r="H498" s="107"/>
      <c r="I498" s="107"/>
      <c r="J498" s="107"/>
    </row>
    <row r="499" spans="6:10" x14ac:dyDescent="0.2">
      <c r="F499" s="107"/>
      <c r="G499" s="107"/>
      <c r="H499" s="107"/>
      <c r="I499" s="107"/>
      <c r="J499" s="107"/>
    </row>
    <row r="500" spans="6:10" x14ac:dyDescent="0.2">
      <c r="F500" s="107"/>
      <c r="G500" s="107"/>
      <c r="H500" s="107"/>
      <c r="I500" s="107"/>
      <c r="J500" s="107"/>
    </row>
    <row r="501" spans="6:10" x14ac:dyDescent="0.2">
      <c r="F501" s="107"/>
      <c r="G501" s="107"/>
      <c r="H501" s="107"/>
      <c r="I501" s="107"/>
      <c r="J501" s="107"/>
    </row>
    <row r="502" spans="6:10" x14ac:dyDescent="0.2">
      <c r="F502" s="107"/>
      <c r="G502" s="107"/>
      <c r="H502" s="107"/>
      <c r="I502" s="107"/>
      <c r="J502" s="107"/>
    </row>
    <row r="503" spans="6:10" x14ac:dyDescent="0.2">
      <c r="F503" s="107"/>
      <c r="G503" s="107"/>
      <c r="H503" s="107"/>
      <c r="I503" s="107"/>
      <c r="J503" s="107"/>
    </row>
    <row r="504" spans="6:10" x14ac:dyDescent="0.2">
      <c r="F504" s="107"/>
      <c r="G504" s="107"/>
      <c r="H504" s="107"/>
      <c r="I504" s="107"/>
      <c r="J504" s="107"/>
    </row>
    <row r="505" spans="6:10" x14ac:dyDescent="0.2">
      <c r="F505" s="107"/>
      <c r="G505" s="107"/>
      <c r="H505" s="107"/>
      <c r="I505" s="107"/>
      <c r="J505" s="107"/>
    </row>
    <row r="506" spans="6:10" x14ac:dyDescent="0.2">
      <c r="F506" s="107"/>
      <c r="G506" s="107"/>
      <c r="H506" s="107"/>
      <c r="I506" s="107"/>
      <c r="J506" s="107"/>
    </row>
    <row r="507" spans="6:10" x14ac:dyDescent="0.2">
      <c r="F507" s="107"/>
      <c r="G507" s="107"/>
      <c r="H507" s="107"/>
      <c r="I507" s="107"/>
      <c r="J507" s="107"/>
    </row>
    <row r="508" spans="6:10" x14ac:dyDescent="0.2">
      <c r="F508" s="107"/>
      <c r="G508" s="107"/>
      <c r="H508" s="107"/>
      <c r="I508" s="107"/>
      <c r="J508" s="107"/>
    </row>
    <row r="509" spans="6:10" x14ac:dyDescent="0.2">
      <c r="F509" s="107"/>
      <c r="G509" s="107"/>
      <c r="H509" s="107"/>
      <c r="I509" s="107"/>
      <c r="J509" s="107"/>
    </row>
    <row r="510" spans="6:10" x14ac:dyDescent="0.2">
      <c r="F510" s="107"/>
      <c r="G510" s="107"/>
      <c r="H510" s="107"/>
      <c r="I510" s="107"/>
      <c r="J510" s="107"/>
    </row>
    <row r="511" spans="6:10" x14ac:dyDescent="0.2">
      <c r="F511" s="107"/>
      <c r="G511" s="107"/>
      <c r="H511" s="107"/>
      <c r="I511" s="107"/>
      <c r="J511" s="107"/>
    </row>
    <row r="512" spans="6:10" x14ac:dyDescent="0.2">
      <c r="F512" s="107"/>
      <c r="G512" s="107"/>
      <c r="H512" s="107"/>
      <c r="I512" s="107"/>
      <c r="J512" s="107"/>
    </row>
    <row r="513" spans="6:10" x14ac:dyDescent="0.2">
      <c r="F513" s="107"/>
      <c r="G513" s="107"/>
      <c r="H513" s="107"/>
      <c r="I513" s="107"/>
      <c r="J513" s="107"/>
    </row>
    <row r="514" spans="6:10" x14ac:dyDescent="0.2">
      <c r="F514" s="107"/>
      <c r="G514" s="107"/>
      <c r="H514" s="107"/>
      <c r="I514" s="107"/>
      <c r="J514" s="107"/>
    </row>
    <row r="515" spans="6:10" x14ac:dyDescent="0.2">
      <c r="F515" s="107"/>
      <c r="G515" s="107"/>
      <c r="H515" s="107"/>
      <c r="I515" s="107"/>
      <c r="J515" s="107"/>
    </row>
    <row r="516" spans="6:10" x14ac:dyDescent="0.2">
      <c r="F516" s="107"/>
      <c r="G516" s="107"/>
      <c r="H516" s="107"/>
      <c r="I516" s="107"/>
      <c r="J516" s="107"/>
    </row>
    <row r="517" spans="6:10" x14ac:dyDescent="0.2">
      <c r="F517" s="107"/>
      <c r="G517" s="107"/>
      <c r="H517" s="107"/>
      <c r="I517" s="107"/>
      <c r="J517" s="107"/>
    </row>
    <row r="518" spans="6:10" x14ac:dyDescent="0.2">
      <c r="F518" s="107"/>
      <c r="G518" s="107"/>
      <c r="H518" s="107"/>
      <c r="I518" s="107"/>
      <c r="J518" s="107"/>
    </row>
    <row r="519" spans="6:10" x14ac:dyDescent="0.2">
      <c r="F519" s="107"/>
      <c r="G519" s="107"/>
      <c r="H519" s="107"/>
      <c r="I519" s="107"/>
      <c r="J519" s="107"/>
    </row>
    <row r="520" spans="6:10" x14ac:dyDescent="0.2">
      <c r="F520" s="107"/>
      <c r="G520" s="107"/>
      <c r="H520" s="107"/>
      <c r="I520" s="107"/>
      <c r="J520" s="107"/>
    </row>
    <row r="521" spans="6:10" x14ac:dyDescent="0.2">
      <c r="F521" s="107"/>
      <c r="G521" s="107"/>
      <c r="H521" s="107"/>
      <c r="I521" s="107"/>
      <c r="J521" s="107"/>
    </row>
    <row r="522" spans="6:10" x14ac:dyDescent="0.2">
      <c r="F522" s="107"/>
      <c r="G522" s="107"/>
      <c r="H522" s="107"/>
      <c r="I522" s="107"/>
      <c r="J522" s="107"/>
    </row>
    <row r="523" spans="6:10" x14ac:dyDescent="0.2">
      <c r="F523" s="107"/>
      <c r="G523" s="107"/>
      <c r="H523" s="107"/>
      <c r="I523" s="107"/>
      <c r="J523" s="107"/>
    </row>
    <row r="524" spans="6:10" x14ac:dyDescent="0.2">
      <c r="F524" s="107"/>
      <c r="G524" s="107"/>
      <c r="H524" s="107"/>
      <c r="I524" s="107"/>
      <c r="J524" s="107"/>
    </row>
    <row r="525" spans="6:10" x14ac:dyDescent="0.2">
      <c r="F525" s="107"/>
      <c r="G525" s="107"/>
      <c r="H525" s="107"/>
      <c r="I525" s="107"/>
      <c r="J525" s="107"/>
    </row>
    <row r="526" spans="6:10" x14ac:dyDescent="0.2">
      <c r="F526" s="107"/>
      <c r="G526" s="107"/>
      <c r="H526" s="107"/>
      <c r="I526" s="107"/>
      <c r="J526" s="107"/>
    </row>
    <row r="527" spans="6:10" x14ac:dyDescent="0.2">
      <c r="F527" s="107"/>
      <c r="G527" s="107"/>
      <c r="H527" s="107"/>
      <c r="I527" s="107"/>
      <c r="J527" s="107"/>
    </row>
    <row r="528" spans="6:10" x14ac:dyDescent="0.2">
      <c r="F528" s="107"/>
      <c r="G528" s="107"/>
      <c r="H528" s="107"/>
      <c r="I528" s="107"/>
      <c r="J528" s="107"/>
    </row>
    <row r="529" spans="6:10" x14ac:dyDescent="0.2">
      <c r="F529" s="107"/>
      <c r="G529" s="107"/>
      <c r="H529" s="107"/>
      <c r="I529" s="107"/>
      <c r="J529" s="107"/>
    </row>
    <row r="530" spans="6:10" x14ac:dyDescent="0.2">
      <c r="F530" s="107"/>
      <c r="G530" s="107"/>
      <c r="H530" s="107"/>
      <c r="I530" s="107"/>
      <c r="J530" s="107"/>
    </row>
    <row r="531" spans="6:10" x14ac:dyDescent="0.2">
      <c r="F531" s="107"/>
      <c r="G531" s="107"/>
      <c r="H531" s="107"/>
      <c r="I531" s="107"/>
      <c r="J531" s="107"/>
    </row>
    <row r="532" spans="6:10" x14ac:dyDescent="0.2">
      <c r="F532" s="107"/>
      <c r="G532" s="107"/>
      <c r="H532" s="107"/>
      <c r="I532" s="107"/>
      <c r="J532" s="107"/>
    </row>
    <row r="533" spans="6:10" x14ac:dyDescent="0.2">
      <c r="F533" s="107"/>
      <c r="G533" s="107"/>
      <c r="H533" s="107"/>
      <c r="I533" s="107"/>
      <c r="J533" s="107"/>
    </row>
    <row r="534" spans="6:10" x14ac:dyDescent="0.2">
      <c r="F534" s="107"/>
      <c r="G534" s="107"/>
      <c r="H534" s="107"/>
      <c r="I534" s="107"/>
      <c r="J534" s="107"/>
    </row>
    <row r="535" spans="6:10" x14ac:dyDescent="0.2">
      <c r="F535" s="107"/>
      <c r="G535" s="107"/>
      <c r="H535" s="107"/>
      <c r="I535" s="107"/>
      <c r="J535" s="107"/>
    </row>
    <row r="536" spans="6:10" x14ac:dyDescent="0.2">
      <c r="F536" s="107"/>
      <c r="G536" s="107"/>
      <c r="H536" s="107"/>
      <c r="I536" s="107"/>
      <c r="J536" s="107"/>
    </row>
    <row r="537" spans="6:10" x14ac:dyDescent="0.2">
      <c r="F537" s="107"/>
      <c r="G537" s="107"/>
      <c r="H537" s="107"/>
      <c r="I537" s="107"/>
      <c r="J537" s="107"/>
    </row>
    <row r="538" spans="6:10" x14ac:dyDescent="0.2">
      <c r="F538" s="107"/>
      <c r="G538" s="107"/>
      <c r="H538" s="107"/>
      <c r="I538" s="107"/>
      <c r="J538" s="107"/>
    </row>
    <row r="539" spans="6:10" x14ac:dyDescent="0.2">
      <c r="F539" s="107"/>
      <c r="G539" s="107"/>
      <c r="H539" s="107"/>
      <c r="I539" s="107"/>
      <c r="J539" s="107"/>
    </row>
    <row r="540" spans="6:10" x14ac:dyDescent="0.2">
      <c r="F540" s="107"/>
      <c r="G540" s="107"/>
      <c r="H540" s="107"/>
      <c r="I540" s="107"/>
      <c r="J540" s="107"/>
    </row>
    <row r="541" spans="6:10" x14ac:dyDescent="0.2">
      <c r="F541" s="107"/>
      <c r="G541" s="107"/>
      <c r="H541" s="107"/>
      <c r="I541" s="107"/>
      <c r="J541" s="107"/>
    </row>
    <row r="542" spans="6:10" x14ac:dyDescent="0.2">
      <c r="F542" s="107"/>
      <c r="G542" s="107"/>
      <c r="H542" s="107"/>
      <c r="I542" s="107"/>
      <c r="J542" s="107"/>
    </row>
    <row r="543" spans="6:10" x14ac:dyDescent="0.2">
      <c r="F543" s="107"/>
      <c r="G543" s="107"/>
      <c r="H543" s="107"/>
      <c r="I543" s="107"/>
      <c r="J543" s="107"/>
    </row>
    <row r="544" spans="6:10" x14ac:dyDescent="0.2">
      <c r="F544" s="107"/>
      <c r="G544" s="107"/>
      <c r="H544" s="107"/>
      <c r="I544" s="107"/>
      <c r="J544" s="107"/>
    </row>
    <row r="545" spans="6:10" x14ac:dyDescent="0.2">
      <c r="F545" s="107"/>
      <c r="G545" s="107"/>
      <c r="H545" s="107"/>
      <c r="I545" s="107"/>
      <c r="J545" s="107"/>
    </row>
    <row r="546" spans="6:10" x14ac:dyDescent="0.2">
      <c r="F546" s="107"/>
      <c r="G546" s="107"/>
      <c r="H546" s="107"/>
      <c r="I546" s="107"/>
      <c r="J546" s="107"/>
    </row>
    <row r="547" spans="6:10" x14ac:dyDescent="0.2">
      <c r="F547" s="107"/>
      <c r="G547" s="107"/>
      <c r="H547" s="107"/>
      <c r="I547" s="107"/>
      <c r="J547" s="107"/>
    </row>
    <row r="548" spans="6:10" x14ac:dyDescent="0.2">
      <c r="F548" s="107"/>
      <c r="G548" s="107"/>
      <c r="H548" s="107"/>
      <c r="I548" s="107"/>
      <c r="J548" s="107"/>
    </row>
    <row r="549" spans="6:10" x14ac:dyDescent="0.2">
      <c r="F549" s="107"/>
      <c r="G549" s="107"/>
      <c r="H549" s="107"/>
      <c r="I549" s="107"/>
      <c r="J549" s="107"/>
    </row>
    <row r="550" spans="6:10" x14ac:dyDescent="0.2">
      <c r="F550" s="107"/>
      <c r="G550" s="107"/>
      <c r="H550" s="107"/>
      <c r="I550" s="107"/>
      <c r="J550" s="107"/>
    </row>
    <row r="551" spans="6:10" x14ac:dyDescent="0.2">
      <c r="F551" s="107"/>
      <c r="G551" s="107"/>
      <c r="H551" s="107"/>
      <c r="I551" s="107"/>
      <c r="J551" s="107"/>
    </row>
    <row r="552" spans="6:10" x14ac:dyDescent="0.2">
      <c r="F552" s="107"/>
      <c r="G552" s="107"/>
      <c r="H552" s="107"/>
      <c r="I552" s="107"/>
      <c r="J552" s="107"/>
    </row>
    <row r="553" spans="6:10" x14ac:dyDescent="0.2">
      <c r="F553" s="107"/>
      <c r="G553" s="107"/>
      <c r="H553" s="107"/>
      <c r="I553" s="107"/>
      <c r="J553" s="107"/>
    </row>
    <row r="554" spans="6:10" x14ac:dyDescent="0.2">
      <c r="F554" s="107"/>
      <c r="G554" s="107"/>
      <c r="H554" s="107"/>
      <c r="I554" s="107"/>
      <c r="J554" s="107"/>
    </row>
    <row r="555" spans="6:10" x14ac:dyDescent="0.2">
      <c r="F555" s="107"/>
      <c r="G555" s="107"/>
      <c r="H555" s="107"/>
      <c r="I555" s="107"/>
      <c r="J555" s="107"/>
    </row>
    <row r="556" spans="6:10" x14ac:dyDescent="0.2">
      <c r="F556" s="107"/>
      <c r="G556" s="107"/>
      <c r="H556" s="107"/>
      <c r="I556" s="107"/>
      <c r="J556" s="107"/>
    </row>
    <row r="557" spans="6:10" x14ac:dyDescent="0.2">
      <c r="F557" s="107"/>
      <c r="G557" s="107"/>
      <c r="H557" s="107"/>
      <c r="I557" s="107"/>
      <c r="J557" s="107"/>
    </row>
    <row r="558" spans="6:10" x14ac:dyDescent="0.2">
      <c r="F558" s="107"/>
      <c r="G558" s="107"/>
      <c r="H558" s="107"/>
      <c r="I558" s="107"/>
      <c r="J558" s="107"/>
    </row>
    <row r="559" spans="6:10" x14ac:dyDescent="0.2">
      <c r="F559" s="107"/>
      <c r="G559" s="107"/>
      <c r="H559" s="107"/>
      <c r="I559" s="107"/>
      <c r="J559" s="107"/>
    </row>
    <row r="560" spans="6:10" x14ac:dyDescent="0.2">
      <c r="F560" s="107"/>
      <c r="G560" s="107"/>
      <c r="H560" s="107"/>
      <c r="I560" s="107"/>
      <c r="J560" s="107"/>
    </row>
    <row r="561" spans="6:10" x14ac:dyDescent="0.2">
      <c r="F561" s="107"/>
      <c r="G561" s="107"/>
      <c r="H561" s="107"/>
      <c r="I561" s="107"/>
      <c r="J561" s="107"/>
    </row>
    <row r="562" spans="6:10" x14ac:dyDescent="0.2">
      <c r="F562" s="107"/>
      <c r="G562" s="107"/>
      <c r="H562" s="107"/>
      <c r="I562" s="107"/>
      <c r="J562" s="107"/>
    </row>
    <row r="563" spans="6:10" x14ac:dyDescent="0.2">
      <c r="F563" s="107"/>
      <c r="G563" s="107"/>
      <c r="H563" s="107"/>
      <c r="I563" s="107"/>
      <c r="J563" s="107"/>
    </row>
    <row r="564" spans="6:10" x14ac:dyDescent="0.2">
      <c r="F564" s="107"/>
      <c r="G564" s="107"/>
      <c r="H564" s="107"/>
      <c r="I564" s="107"/>
      <c r="J564" s="107"/>
    </row>
    <row r="565" spans="6:10" x14ac:dyDescent="0.2">
      <c r="F565" s="107"/>
      <c r="G565" s="107"/>
      <c r="H565" s="107"/>
      <c r="I565" s="107"/>
      <c r="J565" s="107"/>
    </row>
    <row r="566" spans="6:10" x14ac:dyDescent="0.2">
      <c r="F566" s="107"/>
      <c r="G566" s="107"/>
      <c r="H566" s="107"/>
      <c r="I566" s="107"/>
      <c r="J566" s="107"/>
    </row>
    <row r="567" spans="6:10" x14ac:dyDescent="0.2">
      <c r="F567" s="107"/>
      <c r="G567" s="107"/>
      <c r="H567" s="107"/>
      <c r="I567" s="107"/>
      <c r="J567" s="107"/>
    </row>
    <row r="568" spans="6:10" x14ac:dyDescent="0.2">
      <c r="F568" s="107"/>
      <c r="G568" s="107"/>
      <c r="H568" s="107"/>
      <c r="I568" s="107"/>
      <c r="J568" s="107"/>
    </row>
    <row r="569" spans="6:10" x14ac:dyDescent="0.2">
      <c r="F569" s="107"/>
      <c r="G569" s="107"/>
      <c r="H569" s="107"/>
      <c r="I569" s="107"/>
      <c r="J569" s="107"/>
    </row>
    <row r="570" spans="6:10" x14ac:dyDescent="0.2">
      <c r="F570" s="107"/>
      <c r="G570" s="107"/>
      <c r="H570" s="107"/>
      <c r="I570" s="107"/>
      <c r="J570" s="107"/>
    </row>
    <row r="571" spans="6:10" x14ac:dyDescent="0.2">
      <c r="F571" s="107"/>
      <c r="G571" s="107"/>
      <c r="H571" s="107"/>
      <c r="I571" s="107"/>
      <c r="J571" s="107"/>
    </row>
  </sheetData>
  <mergeCells count="5">
    <mergeCell ref="E58:E62"/>
    <mergeCell ref="E49:E53"/>
    <mergeCell ref="E67:E69"/>
    <mergeCell ref="F46:J46"/>
    <mergeCell ref="K84:L86"/>
  </mergeCells>
  <conditionalFormatting sqref="B45:J45">
    <cfRule type="cellIs" dxfId="0" priority="1" operator="equal">
      <formula>0</formula>
    </cfRule>
  </conditionalFormatting>
  <pageMargins left="0.2" right="0.2" top="0.5" bottom="0.5" header="0.5" footer="0.5"/>
  <pageSetup fitToWidth="0" fitToHeight="0"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7F568-BAE8-4473-8942-AB5086614AD7}">
  <dimension ref="A1:G37"/>
  <sheetViews>
    <sheetView showGridLines="0" zoomScale="140" zoomScaleNormal="140" workbookViewId="0">
      <selection activeCell="D38" sqref="D38"/>
    </sheetView>
  </sheetViews>
  <sheetFormatPr defaultColWidth="8.7109375" defaultRowHeight="12.75" x14ac:dyDescent="0.2"/>
  <cols>
    <col min="1" max="1" width="48.42578125" style="1" bestFit="1" customWidth="1"/>
    <col min="2" max="6" width="12.7109375" style="1" customWidth="1"/>
    <col min="7" max="16384" width="8.7109375" style="1"/>
  </cols>
  <sheetData>
    <row r="1" spans="1:7" x14ac:dyDescent="0.2">
      <c r="A1" s="52" t="s">
        <v>243</v>
      </c>
    </row>
    <row r="2" spans="1:7" x14ac:dyDescent="0.2">
      <c r="A2" s="41" t="str">
        <f>'PepsiCo-IS'!A2</f>
        <v>(in USD million except per Share Data)</v>
      </c>
      <c r="B2" s="204"/>
      <c r="C2" s="204"/>
      <c r="D2" s="204"/>
      <c r="E2" s="204"/>
      <c r="F2" s="204"/>
    </row>
    <row r="3" spans="1:7" x14ac:dyDescent="0.2">
      <c r="A3" s="52" t="s">
        <v>143</v>
      </c>
      <c r="B3" s="283">
        <f>'PepsiCo-IS'!I3</f>
        <v>6</v>
      </c>
      <c r="C3" s="163">
        <f>'PepsiCo-IS'!K3</f>
        <v>12</v>
      </c>
      <c r="D3" s="163">
        <f>'PepsiCo-IS'!L3</f>
        <v>12</v>
      </c>
      <c r="E3" s="163">
        <f>'PepsiCo-IS'!M3</f>
        <v>12</v>
      </c>
      <c r="F3" s="163">
        <f>'PepsiCo-IS'!N3</f>
        <v>12</v>
      </c>
    </row>
    <row r="4" spans="1:7" ht="14.45" customHeight="1" x14ac:dyDescent="0.2">
      <c r="A4" s="53"/>
      <c r="B4" s="284">
        <f>'PepsiCo-IS'!I4</f>
        <v>44196</v>
      </c>
      <c r="C4" s="106">
        <f>'PepsiCo-IS'!K4</f>
        <v>44561</v>
      </c>
      <c r="D4" s="106">
        <f>'PepsiCo-IS'!L4</f>
        <v>44926</v>
      </c>
      <c r="E4" s="106">
        <f>'PepsiCo-IS'!M4</f>
        <v>45291</v>
      </c>
      <c r="F4" s="106">
        <f>'PepsiCo-IS'!N4</f>
        <v>45657</v>
      </c>
    </row>
    <row r="6" spans="1:7" x14ac:dyDescent="0.2">
      <c r="A6" s="220" t="s">
        <v>144</v>
      </c>
    </row>
    <row r="7" spans="1:7" x14ac:dyDescent="0.2">
      <c r="A7" s="235" t="s">
        <v>145</v>
      </c>
      <c r="B7" s="215">
        <f>'PepsiCo-IS'!I40</f>
        <v>4578.3102799429762</v>
      </c>
      <c r="C7" s="215">
        <f>'PepsiCo-IS'!K40</f>
        <v>8278.7222343194553</v>
      </c>
      <c r="D7" s="215">
        <f>'PepsiCo-IS'!L40</f>
        <v>8564.5421782608955</v>
      </c>
      <c r="E7" s="215">
        <f>'PepsiCo-IS'!M40</f>
        <v>8864.783827006193</v>
      </c>
      <c r="F7" s="215">
        <f>'PepsiCo-IS'!N40</f>
        <v>9122.7441633346098</v>
      </c>
      <c r="G7" s="286" t="s">
        <v>362</v>
      </c>
    </row>
    <row r="8" spans="1:7" x14ac:dyDescent="0.2">
      <c r="A8" s="235" t="s">
        <v>146</v>
      </c>
      <c r="B8" s="215">
        <f>'PepsiCo-IS'!I11+'PepsiCo-IS'!I19+'PepsiCo-IS'!I20</f>
        <v>1267.4708750799546</v>
      </c>
      <c r="C8" s="215">
        <f>'PepsiCo-IS'!K11+'PepsiCo-IS'!K19+'PepsiCo-IS'!K20</f>
        <v>2632.5474969754127</v>
      </c>
      <c r="D8" s="215">
        <f>'PepsiCo-IS'!L11+'PepsiCo-IS'!L19+'PepsiCo-IS'!L20</f>
        <v>2733.9969966248545</v>
      </c>
      <c r="E8" s="215">
        <f>'PepsiCo-IS'!M11+'PepsiCo-IS'!M19+'PepsiCo-IS'!M20</f>
        <v>2841.4157826266905</v>
      </c>
      <c r="F8" s="215">
        <f>'PepsiCo-IS'!N11+'PepsiCo-IS'!N19+'PepsiCo-IS'!N20</f>
        <v>2955.1631531324419</v>
      </c>
    </row>
    <row r="9" spans="1:7" x14ac:dyDescent="0.2">
      <c r="A9" s="235" t="s">
        <v>147</v>
      </c>
      <c r="B9" s="215">
        <f>'PepsiCo-IS'!I72</f>
        <v>132.1863493872263</v>
      </c>
      <c r="C9" s="215">
        <f>'PepsiCo-IS'!K72</f>
        <v>277.90909240191348</v>
      </c>
      <c r="D9" s="215">
        <f>'PepsiCo-IS'!L72</f>
        <v>289.2062431794688</v>
      </c>
      <c r="E9" s="215">
        <f>'PepsiCo-IS'!M72</f>
        <v>301.13315656686092</v>
      </c>
      <c r="F9" s="215">
        <f>'PepsiCo-IS'!N72</f>
        <v>313.72944603715013</v>
      </c>
    </row>
    <row r="10" spans="1:7" x14ac:dyDescent="0.2">
      <c r="A10" s="236" t="s">
        <v>148</v>
      </c>
      <c r="B10" s="215"/>
      <c r="C10" s="215"/>
      <c r="D10" s="215"/>
      <c r="E10" s="215"/>
      <c r="F10" s="215"/>
    </row>
    <row r="11" spans="1:7" x14ac:dyDescent="0.2">
      <c r="A11" s="237" t="s">
        <v>149</v>
      </c>
      <c r="B11" s="215">
        <f>'PepsiCo-BS'!E8-'PepsiCo-BS'!F8</f>
        <v>1028.7992263562737</v>
      </c>
      <c r="C11" s="215">
        <f>'PepsiCo-BS'!F8-'PepsiCo-BS'!G8</f>
        <v>-312.36863967390127</v>
      </c>
      <c r="D11" s="215">
        <f>'PepsiCo-BS'!G8-'PepsiCo-BS'!H8</f>
        <v>-329.55901712854939</v>
      </c>
      <c r="E11" s="215">
        <f>'PepsiCo-BS'!H8-'PepsiCo-BS'!I8</f>
        <v>-347.83047377629191</v>
      </c>
      <c r="F11" s="215">
        <f>'PepsiCo-BS'!I8-'PepsiCo-BS'!J8</f>
        <v>-367.25639507978485</v>
      </c>
    </row>
    <row r="12" spans="1:7" x14ac:dyDescent="0.2">
      <c r="A12" s="237" t="s">
        <v>101</v>
      </c>
      <c r="B12" s="215">
        <f>'PepsiCo-BS'!E9-'PepsiCo-BS'!F9</f>
        <v>1080.1630752697479</v>
      </c>
      <c r="C12" s="215">
        <f>'PepsiCo-BS'!F9-'PepsiCo-BS'!G9</f>
        <v>-196.48852119141156</v>
      </c>
      <c r="D12" s="215">
        <f>'PepsiCo-BS'!G9-'PepsiCo-BS'!H9</f>
        <v>-140.19779882118928</v>
      </c>
      <c r="E12" s="215">
        <f>'PepsiCo-BS'!H9-'PepsiCo-BS'!I9</f>
        <v>-147.97066459069401</v>
      </c>
      <c r="F12" s="215">
        <f>'PepsiCo-BS'!I9-'PepsiCo-BS'!J9</f>
        <v>-156.23465151040546</v>
      </c>
    </row>
    <row r="13" spans="1:7" x14ac:dyDescent="0.2">
      <c r="A13" s="238" t="s">
        <v>102</v>
      </c>
      <c r="B13" s="215">
        <f>'PepsiCo-BS'!E10-'PepsiCo-BS'!F10</f>
        <v>-67.24097574174516</v>
      </c>
      <c r="C13" s="215">
        <f>'PepsiCo-BS'!F10-'PepsiCo-BS'!G10</f>
        <v>-41.88077426527866</v>
      </c>
      <c r="D13" s="215">
        <f>'PepsiCo-BS'!G10-'PepsiCo-BS'!H10</f>
        <v>-44.185571310413479</v>
      </c>
      <c r="E13" s="215">
        <f>'PepsiCo-BS'!H10-'PepsiCo-BS'!I10</f>
        <v>-46.635313871512608</v>
      </c>
      <c r="F13" s="215">
        <f>'PepsiCo-BS'!I10-'PepsiCo-BS'!J10</f>
        <v>-49.239841092478173</v>
      </c>
    </row>
    <row r="14" spans="1:7" x14ac:dyDescent="0.2">
      <c r="A14" s="237" t="s">
        <v>150</v>
      </c>
      <c r="B14" s="215">
        <f>'PepsiCo-BS'!F70-'PepsiCo-BS'!E70</f>
        <v>876.38987815862492</v>
      </c>
      <c r="C14" s="215">
        <f>'PepsiCo-BS'!G70-'PepsiCo-BS'!F70</f>
        <v>925.40126604487159</v>
      </c>
      <c r="D14" s="215">
        <f>'PepsiCo-BS'!H70-'PepsiCo-BS'!G70</f>
        <v>660.28905779918568</v>
      </c>
      <c r="E14" s="215">
        <f>'PepsiCo-BS'!I70-'PepsiCo-BS'!H70</f>
        <v>696.89689514399288</v>
      </c>
      <c r="F14" s="215">
        <f>'PepsiCo-BS'!J70-'PepsiCo-BS'!I70</f>
        <v>735.81776396477289</v>
      </c>
      <c r="G14" s="1" t="s">
        <v>386</v>
      </c>
    </row>
    <row r="15" spans="1:7" x14ac:dyDescent="0.2">
      <c r="B15" s="215" t="s">
        <v>66</v>
      </c>
      <c r="C15" s="215"/>
      <c r="D15" s="215"/>
      <c r="E15" s="215"/>
      <c r="F15" s="215"/>
    </row>
    <row r="16" spans="1:7" s="220" customFormat="1" x14ac:dyDescent="0.2">
      <c r="A16" s="220" t="s">
        <v>151</v>
      </c>
      <c r="B16" s="289">
        <f>SUM(B7:B14)</f>
        <v>8896.0787084530566</v>
      </c>
      <c r="C16" s="289">
        <f t="shared" ref="C16:F16" si="0">SUM(C7:C14)</f>
        <v>11563.84215461106</v>
      </c>
      <c r="D16" s="289">
        <f t="shared" si="0"/>
        <v>11734.092088604253</v>
      </c>
      <c r="E16" s="289">
        <f t="shared" si="0"/>
        <v>12161.793209105239</v>
      </c>
      <c r="F16" s="289">
        <f t="shared" si="0"/>
        <v>12554.723638786307</v>
      </c>
    </row>
    <row r="18" spans="1:7" x14ac:dyDescent="0.2">
      <c r="A18" s="220" t="s">
        <v>152</v>
      </c>
    </row>
    <row r="19" spans="1:7" x14ac:dyDescent="0.2">
      <c r="A19" s="235" t="s">
        <v>70</v>
      </c>
      <c r="B19" s="215">
        <f>-'Fixed Assets Schedule'!G6-'Fixed Assets Schedule'!G25</f>
        <v>-2348.519719597818</v>
      </c>
      <c r="C19" s="215">
        <f>-'Fixed Assets Schedule'!H6-'Fixed Assets Schedule'!H25</f>
        <v>-2100.013311159888</v>
      </c>
      <c r="D19" s="215">
        <f>-'Fixed Assets Schedule'!I6-'Fixed Assets Schedule'!I25</f>
        <v>-3479.2285817880256</v>
      </c>
      <c r="E19" s="215">
        <f>-'Fixed Assets Schedule'!J6-'Fixed Assets Schedule'!J25</f>
        <v>-3634.7676247243908</v>
      </c>
      <c r="F19" s="215">
        <f>-'Fixed Assets Schedule'!K6-'Fixed Assets Schedule'!K25</f>
        <v>-3799.3230986344715</v>
      </c>
    </row>
    <row r="21" spans="1:7" s="220" customFormat="1" x14ac:dyDescent="0.2">
      <c r="A21" s="220" t="s">
        <v>153</v>
      </c>
      <c r="B21" s="290">
        <f>B19</f>
        <v>-2348.519719597818</v>
      </c>
      <c r="C21" s="290">
        <f t="shared" ref="C21:F21" si="1">C19</f>
        <v>-2100.013311159888</v>
      </c>
      <c r="D21" s="290">
        <f t="shared" si="1"/>
        <v>-3479.2285817880256</v>
      </c>
      <c r="E21" s="290">
        <f t="shared" si="1"/>
        <v>-3634.7676247243908</v>
      </c>
      <c r="F21" s="290">
        <f t="shared" si="1"/>
        <v>-3799.3230986344715</v>
      </c>
    </row>
    <row r="23" spans="1:7" x14ac:dyDescent="0.2">
      <c r="A23" s="220" t="s">
        <v>154</v>
      </c>
    </row>
    <row r="24" spans="1:7" x14ac:dyDescent="0.2">
      <c r="A24" s="235" t="s">
        <v>157</v>
      </c>
      <c r="B24" s="215">
        <f>-'PepsiCo-IS'!I76*'PepsiCo-IS'!I48</f>
        <v>-2300.0033981827851</v>
      </c>
      <c r="C24" s="215">
        <f>-'PepsiCo-IS'!K48*'PepsiCo-IS'!K76</f>
        <v>-5280.0558858098948</v>
      </c>
      <c r="D24" s="215">
        <f>-'PepsiCo-IS'!L48*'PepsiCo-IS'!L76</f>
        <v>-5462.3479394113183</v>
      </c>
      <c r="E24" s="215">
        <f>-'PepsiCo-IS'!M48*'PepsiCo-IS'!M76</f>
        <v>-5653.8379592178835</v>
      </c>
      <c r="F24" s="215">
        <f>-'PepsiCo-IS'!N48*'PepsiCo-IS'!N76</f>
        <v>-5818.3615358744355</v>
      </c>
    </row>
    <row r="25" spans="1:7" x14ac:dyDescent="0.2">
      <c r="A25" s="235" t="s">
        <v>198</v>
      </c>
      <c r="B25" s="239">
        <f>B16+B21+B24</f>
        <v>4247.555590672453</v>
      </c>
      <c r="C25" s="239">
        <f t="shared" ref="C25:F25" si="2">C16+C21+C24</f>
        <v>4183.7729576412776</v>
      </c>
      <c r="D25" s="239">
        <f t="shared" si="2"/>
        <v>2792.5155674049092</v>
      </c>
      <c r="E25" s="239">
        <f t="shared" si="2"/>
        <v>2873.1876251629647</v>
      </c>
      <c r="F25" s="239">
        <f t="shared" si="2"/>
        <v>2937.0390042773997</v>
      </c>
      <c r="G25" s="1" t="s">
        <v>403</v>
      </c>
    </row>
    <row r="26" spans="1:7" x14ac:dyDescent="0.2">
      <c r="A26" s="220"/>
    </row>
    <row r="27" spans="1:7" x14ac:dyDescent="0.2">
      <c r="A27" s="235" t="s">
        <v>155</v>
      </c>
      <c r="B27" s="215">
        <f>'Debt Schedule'!B46</f>
        <v>0</v>
      </c>
      <c r="C27" s="215">
        <f>'Debt Schedule'!C46</f>
        <v>0</v>
      </c>
      <c r="D27" s="215">
        <f>'Debt Schedule'!D46</f>
        <v>0</v>
      </c>
      <c r="E27" s="215">
        <f>'Debt Schedule'!E46</f>
        <v>0</v>
      </c>
      <c r="F27" s="215">
        <f>'Debt Schedule'!F46</f>
        <v>0</v>
      </c>
    </row>
    <row r="28" spans="1:7" x14ac:dyDescent="0.2">
      <c r="A28" s="235" t="s">
        <v>156</v>
      </c>
      <c r="B28" s="1">
        <f>'Debt Schedule'!B10-'Debt Schedule'!B47</f>
        <v>-5350</v>
      </c>
      <c r="C28" s="1">
        <f>'Debt Schedule'!C10-'Debt Schedule'!C47</f>
        <v>-3276</v>
      </c>
      <c r="D28" s="1">
        <f>'Debt Schedule'!D10-'Debt Schedule'!D47</f>
        <v>-3831</v>
      </c>
      <c r="E28" s="1">
        <f>'Debt Schedule'!E10-'Debt Schedule'!E47</f>
        <v>-2272</v>
      </c>
      <c r="F28" s="1">
        <f>'Debt Schedule'!F10-'Debt Schedule'!F47</f>
        <v>-2839</v>
      </c>
    </row>
    <row r="30" spans="1:7" x14ac:dyDescent="0.2">
      <c r="A30" s="235"/>
    </row>
    <row r="31" spans="1:7" s="220" customFormat="1" x14ac:dyDescent="0.2">
      <c r="A31" s="220" t="s">
        <v>158</v>
      </c>
      <c r="B31" s="289">
        <f>B24+B27+B28</f>
        <v>-7650.0033981827855</v>
      </c>
      <c r="C31" s="289">
        <f t="shared" ref="C31:F31" si="3">C24+C27+C28</f>
        <v>-8556.0558858098957</v>
      </c>
      <c r="D31" s="289">
        <f t="shared" si="3"/>
        <v>-9293.3479394113183</v>
      </c>
      <c r="E31" s="289">
        <f t="shared" si="3"/>
        <v>-7925.8379592178835</v>
      </c>
      <c r="F31" s="289">
        <f t="shared" si="3"/>
        <v>-8657.3615358744355</v>
      </c>
    </row>
    <row r="33" spans="1:6" s="220" customFormat="1" x14ac:dyDescent="0.2">
      <c r="A33" s="220" t="s">
        <v>159</v>
      </c>
      <c r="B33" s="221">
        <f>B16+B21+B31</f>
        <v>-1102.444409327547</v>
      </c>
      <c r="C33" s="221">
        <f t="shared" ref="C33:F33" si="4">C16+C21+C31</f>
        <v>907.77295764127666</v>
      </c>
      <c r="D33" s="221">
        <f t="shared" si="4"/>
        <v>-1038.4844325950908</v>
      </c>
      <c r="E33" s="221">
        <f t="shared" si="4"/>
        <v>601.18762516296465</v>
      </c>
      <c r="F33" s="221">
        <f t="shared" si="4"/>
        <v>98.039004277399727</v>
      </c>
    </row>
    <row r="34" spans="1:6" s="220" customFormat="1" x14ac:dyDescent="0.2">
      <c r="A34" s="220" t="s">
        <v>160</v>
      </c>
      <c r="B34" s="303">
        <f>'PepsiCo-BS'!E5</f>
        <v>8927</v>
      </c>
      <c r="C34" s="303">
        <f>'PepsiCo-BS'!F5</f>
        <v>7824.555590672453</v>
      </c>
      <c r="D34" s="303">
        <f>'PepsiCo-BS'!G5</f>
        <v>8732.3285483137297</v>
      </c>
      <c r="E34" s="303">
        <f>'PepsiCo-BS'!H5</f>
        <v>7693.8441157186389</v>
      </c>
      <c r="F34" s="303">
        <f>'PepsiCo-BS'!I5</f>
        <v>8295.0317408816045</v>
      </c>
    </row>
    <row r="35" spans="1:6" x14ac:dyDescent="0.2">
      <c r="A35" s="220" t="s">
        <v>161</v>
      </c>
      <c r="B35" s="295">
        <f>B33+B34</f>
        <v>7824.555590672453</v>
      </c>
      <c r="C35" s="295">
        <f t="shared" ref="C35:F35" si="5">C33+C34</f>
        <v>8732.3285483137297</v>
      </c>
      <c r="D35" s="295">
        <f t="shared" si="5"/>
        <v>7693.8441157186389</v>
      </c>
      <c r="E35" s="295">
        <f t="shared" si="5"/>
        <v>8295.0317408816045</v>
      </c>
      <c r="F35" s="295">
        <f t="shared" si="5"/>
        <v>8393.0707451590042</v>
      </c>
    </row>
    <row r="37" spans="1:6" x14ac:dyDescent="0.2">
      <c r="A37" s="180" t="s">
        <v>320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autoPageBreaks="0"/>
  </sheetPr>
  <dimension ref="A1:WVW1048570"/>
  <sheetViews>
    <sheetView showGridLines="0" zoomScale="140" zoomScaleNormal="140" workbookViewId="0">
      <pane xSplit="1" ySplit="4" topLeftCell="H58" activePane="bottomRight" state="frozen"/>
      <selection activeCell="B29" sqref="B29"/>
      <selection pane="topRight" activeCell="B29" sqref="B29"/>
      <selection pane="bottomLeft" activeCell="B29" sqref="B29"/>
      <selection pane="bottomRight" activeCell="K68" sqref="K68"/>
    </sheetView>
  </sheetViews>
  <sheetFormatPr defaultColWidth="0" defaultRowHeight="12.75" outlineLevelCol="1" x14ac:dyDescent="0.2"/>
  <cols>
    <col min="1" max="1" width="58.7109375" style="5" bestFit="1" customWidth="1" collapsed="1"/>
    <col min="2" max="2" width="14.85546875" style="5" hidden="1" customWidth="1" outlineLevel="1"/>
    <col min="3" max="3" width="4" style="5" hidden="1" customWidth="1" outlineLevel="1"/>
    <col min="4" max="4" width="6.7109375" style="5" hidden="1" customWidth="1" outlineLevel="1"/>
    <col min="5" max="8" width="14.85546875" style="5" customWidth="1"/>
    <col min="9" max="9" width="12.42578125" style="31" customWidth="1"/>
    <col min="10" max="10" width="12.42578125" style="281" customWidth="1"/>
    <col min="11" max="14" width="12.42578125" style="31" customWidth="1"/>
    <col min="15" max="15" width="9.42578125" style="5" bestFit="1" customWidth="1"/>
    <col min="16" max="16" width="8.85546875" style="5" customWidth="1"/>
    <col min="17" max="259" width="8.85546875" style="5" hidden="1"/>
    <col min="260" max="260" width="45.85546875" style="5" hidden="1"/>
    <col min="261" max="265" width="14.85546875" style="5" hidden="1"/>
    <col min="266" max="266" width="8.5703125" style="5" hidden="1"/>
    <col min="267" max="267" width="8.85546875" style="5" hidden="1"/>
    <col min="268" max="271" width="9.42578125" style="5" hidden="1"/>
    <col min="272" max="515" width="8.85546875" style="5" hidden="1"/>
    <col min="516" max="516" width="45.85546875" style="5" hidden="1"/>
    <col min="517" max="521" width="14.85546875" style="5" hidden="1"/>
    <col min="522" max="522" width="8.5703125" style="5" hidden="1"/>
    <col min="523" max="523" width="8.85546875" style="5" hidden="1"/>
    <col min="524" max="527" width="9.42578125" style="5" hidden="1"/>
    <col min="528" max="771" width="8.85546875" style="5" hidden="1"/>
    <col min="772" max="772" width="45.85546875" style="5" hidden="1"/>
    <col min="773" max="777" width="14.85546875" style="5" hidden="1"/>
    <col min="778" max="778" width="8.5703125" style="5" hidden="1"/>
    <col min="779" max="779" width="8.85546875" style="5" hidden="1"/>
    <col min="780" max="783" width="9.42578125" style="5" hidden="1"/>
    <col min="784" max="1027" width="8.85546875" style="5" hidden="1"/>
    <col min="1028" max="1028" width="45.85546875" style="5" hidden="1"/>
    <col min="1029" max="1033" width="14.85546875" style="5" hidden="1"/>
    <col min="1034" max="1034" width="8.5703125" style="5" hidden="1"/>
    <col min="1035" max="1035" width="8.85546875" style="5" hidden="1"/>
    <col min="1036" max="1039" width="9.42578125" style="5" hidden="1"/>
    <col min="1040" max="1283" width="8.85546875" style="5" hidden="1"/>
    <col min="1284" max="1284" width="45.85546875" style="5" hidden="1"/>
    <col min="1285" max="1289" width="14.85546875" style="5" hidden="1"/>
    <col min="1290" max="1290" width="8.5703125" style="5" hidden="1"/>
    <col min="1291" max="1291" width="8.85546875" style="5" hidden="1"/>
    <col min="1292" max="1295" width="9.42578125" style="5" hidden="1"/>
    <col min="1296" max="1539" width="8.85546875" style="5" hidden="1"/>
    <col min="1540" max="1540" width="45.85546875" style="5" hidden="1"/>
    <col min="1541" max="1545" width="14.85546875" style="5" hidden="1"/>
    <col min="1546" max="1546" width="8.5703125" style="5" hidden="1"/>
    <col min="1547" max="1547" width="8.85546875" style="5" hidden="1"/>
    <col min="1548" max="1551" width="9.42578125" style="5" hidden="1"/>
    <col min="1552" max="1795" width="8.85546875" style="5" hidden="1"/>
    <col min="1796" max="1796" width="45.85546875" style="5" hidden="1"/>
    <col min="1797" max="1801" width="14.85546875" style="5" hidden="1"/>
    <col min="1802" max="1802" width="8.5703125" style="5" hidden="1"/>
    <col min="1803" max="1803" width="8.85546875" style="5" hidden="1"/>
    <col min="1804" max="1807" width="9.42578125" style="5" hidden="1"/>
    <col min="1808" max="2051" width="8.85546875" style="5" hidden="1"/>
    <col min="2052" max="2052" width="45.85546875" style="5" hidden="1"/>
    <col min="2053" max="2057" width="14.85546875" style="5" hidden="1"/>
    <col min="2058" max="2058" width="8.5703125" style="5" hidden="1"/>
    <col min="2059" max="2059" width="8.85546875" style="5" hidden="1"/>
    <col min="2060" max="2063" width="9.42578125" style="5" hidden="1"/>
    <col min="2064" max="2307" width="8.85546875" style="5" hidden="1"/>
    <col min="2308" max="2308" width="45.85546875" style="5" hidden="1"/>
    <col min="2309" max="2313" width="14.85546875" style="5" hidden="1"/>
    <col min="2314" max="2314" width="8.5703125" style="5" hidden="1"/>
    <col min="2315" max="2315" width="8.85546875" style="5" hidden="1"/>
    <col min="2316" max="2319" width="9.42578125" style="5" hidden="1"/>
    <col min="2320" max="2563" width="8.85546875" style="5" hidden="1"/>
    <col min="2564" max="2564" width="45.85546875" style="5" hidden="1"/>
    <col min="2565" max="2569" width="14.85546875" style="5" hidden="1"/>
    <col min="2570" max="2570" width="8.5703125" style="5" hidden="1"/>
    <col min="2571" max="2571" width="8.85546875" style="5" hidden="1"/>
    <col min="2572" max="2575" width="9.42578125" style="5" hidden="1"/>
    <col min="2576" max="2819" width="8.85546875" style="5" hidden="1"/>
    <col min="2820" max="2820" width="45.85546875" style="5" hidden="1"/>
    <col min="2821" max="2825" width="14.85546875" style="5" hidden="1"/>
    <col min="2826" max="2826" width="8.5703125" style="5" hidden="1"/>
    <col min="2827" max="2827" width="8.85546875" style="5" hidden="1"/>
    <col min="2828" max="2831" width="9.42578125" style="5" hidden="1"/>
    <col min="2832" max="3075" width="8.85546875" style="5" hidden="1"/>
    <col min="3076" max="3076" width="45.85546875" style="5" hidden="1"/>
    <col min="3077" max="3081" width="14.85546875" style="5" hidden="1"/>
    <col min="3082" max="3082" width="8.5703125" style="5" hidden="1"/>
    <col min="3083" max="3083" width="8.85546875" style="5" hidden="1"/>
    <col min="3084" max="3087" width="9.42578125" style="5" hidden="1"/>
    <col min="3088" max="3331" width="8.85546875" style="5" hidden="1"/>
    <col min="3332" max="3332" width="45.85546875" style="5" hidden="1"/>
    <col min="3333" max="3337" width="14.85546875" style="5" hidden="1"/>
    <col min="3338" max="3338" width="8.5703125" style="5" hidden="1"/>
    <col min="3339" max="3339" width="8.85546875" style="5" hidden="1"/>
    <col min="3340" max="3343" width="9.42578125" style="5" hidden="1"/>
    <col min="3344" max="3587" width="8.85546875" style="5" hidden="1"/>
    <col min="3588" max="3588" width="45.85546875" style="5" hidden="1"/>
    <col min="3589" max="3593" width="14.85546875" style="5" hidden="1"/>
    <col min="3594" max="3594" width="8.5703125" style="5" hidden="1"/>
    <col min="3595" max="3595" width="8.85546875" style="5" hidden="1"/>
    <col min="3596" max="3599" width="9.42578125" style="5" hidden="1"/>
    <col min="3600" max="3843" width="8.85546875" style="5" hidden="1"/>
    <col min="3844" max="3844" width="45.85546875" style="5" hidden="1"/>
    <col min="3845" max="3849" width="14.85546875" style="5" hidden="1"/>
    <col min="3850" max="3850" width="8.5703125" style="5" hidden="1"/>
    <col min="3851" max="3851" width="8.85546875" style="5" hidden="1"/>
    <col min="3852" max="3855" width="9.42578125" style="5" hidden="1"/>
    <col min="3856" max="4099" width="8.85546875" style="5" hidden="1"/>
    <col min="4100" max="4100" width="45.85546875" style="5" hidden="1"/>
    <col min="4101" max="4105" width="14.85546875" style="5" hidden="1"/>
    <col min="4106" max="4106" width="8.5703125" style="5" hidden="1"/>
    <col min="4107" max="4107" width="8.85546875" style="5" hidden="1"/>
    <col min="4108" max="4111" width="9.42578125" style="5" hidden="1"/>
    <col min="4112" max="4355" width="8.85546875" style="5" hidden="1"/>
    <col min="4356" max="4356" width="45.85546875" style="5" hidden="1"/>
    <col min="4357" max="4361" width="14.85546875" style="5" hidden="1"/>
    <col min="4362" max="4362" width="8.5703125" style="5" hidden="1"/>
    <col min="4363" max="4363" width="8.85546875" style="5" hidden="1"/>
    <col min="4364" max="4367" width="9.42578125" style="5" hidden="1"/>
    <col min="4368" max="4611" width="8.85546875" style="5" hidden="1"/>
    <col min="4612" max="4612" width="45.85546875" style="5" hidden="1"/>
    <col min="4613" max="4617" width="14.85546875" style="5" hidden="1"/>
    <col min="4618" max="4618" width="8.5703125" style="5" hidden="1"/>
    <col min="4619" max="4619" width="8.85546875" style="5" hidden="1"/>
    <col min="4620" max="4623" width="9.42578125" style="5" hidden="1"/>
    <col min="4624" max="4867" width="8.85546875" style="5" hidden="1"/>
    <col min="4868" max="4868" width="45.85546875" style="5" hidden="1"/>
    <col min="4869" max="4873" width="14.85546875" style="5" hidden="1"/>
    <col min="4874" max="4874" width="8.5703125" style="5" hidden="1"/>
    <col min="4875" max="4875" width="8.85546875" style="5" hidden="1"/>
    <col min="4876" max="4879" width="9.42578125" style="5" hidden="1"/>
    <col min="4880" max="5123" width="8.85546875" style="5" hidden="1"/>
    <col min="5124" max="5124" width="45.85546875" style="5" hidden="1"/>
    <col min="5125" max="5129" width="14.85546875" style="5" hidden="1"/>
    <col min="5130" max="5130" width="8.5703125" style="5" hidden="1"/>
    <col min="5131" max="5131" width="8.85546875" style="5" hidden="1"/>
    <col min="5132" max="5135" width="9.42578125" style="5" hidden="1"/>
    <col min="5136" max="5379" width="8.85546875" style="5" hidden="1"/>
    <col min="5380" max="5380" width="45.85546875" style="5" hidden="1"/>
    <col min="5381" max="5385" width="14.85546875" style="5" hidden="1"/>
    <col min="5386" max="5386" width="8.5703125" style="5" hidden="1"/>
    <col min="5387" max="5387" width="8.85546875" style="5" hidden="1"/>
    <col min="5388" max="5391" width="9.42578125" style="5" hidden="1"/>
    <col min="5392" max="5635" width="8.85546875" style="5" hidden="1"/>
    <col min="5636" max="5636" width="45.85546875" style="5" hidden="1"/>
    <col min="5637" max="5641" width="14.85546875" style="5" hidden="1"/>
    <col min="5642" max="5642" width="8.5703125" style="5" hidden="1"/>
    <col min="5643" max="5643" width="8.85546875" style="5" hidden="1"/>
    <col min="5644" max="5647" width="9.42578125" style="5" hidden="1"/>
    <col min="5648" max="5891" width="8.85546875" style="5" hidden="1"/>
    <col min="5892" max="5892" width="45.85546875" style="5" hidden="1"/>
    <col min="5893" max="5897" width="14.85546875" style="5" hidden="1"/>
    <col min="5898" max="5898" width="8.5703125" style="5" hidden="1"/>
    <col min="5899" max="5899" width="8.85546875" style="5" hidden="1"/>
    <col min="5900" max="5903" width="9.42578125" style="5" hidden="1"/>
    <col min="5904" max="6147" width="8.85546875" style="5" hidden="1"/>
    <col min="6148" max="6148" width="45.85546875" style="5" hidden="1"/>
    <col min="6149" max="6153" width="14.85546875" style="5" hidden="1"/>
    <col min="6154" max="6154" width="8.5703125" style="5" hidden="1"/>
    <col min="6155" max="6155" width="8.85546875" style="5" hidden="1"/>
    <col min="6156" max="6159" width="9.42578125" style="5" hidden="1"/>
    <col min="6160" max="6403" width="8.85546875" style="5" hidden="1"/>
    <col min="6404" max="6404" width="45.85546875" style="5" hidden="1"/>
    <col min="6405" max="6409" width="14.85546875" style="5" hidden="1"/>
    <col min="6410" max="6410" width="8.5703125" style="5" hidden="1"/>
    <col min="6411" max="6411" width="8.85546875" style="5" hidden="1"/>
    <col min="6412" max="6415" width="9.42578125" style="5" hidden="1"/>
    <col min="6416" max="6659" width="8.85546875" style="5" hidden="1"/>
    <col min="6660" max="6660" width="45.85546875" style="5" hidden="1"/>
    <col min="6661" max="6665" width="14.85546875" style="5" hidden="1"/>
    <col min="6666" max="6666" width="8.5703125" style="5" hidden="1"/>
    <col min="6667" max="6667" width="8.85546875" style="5" hidden="1"/>
    <col min="6668" max="6671" width="9.42578125" style="5" hidden="1"/>
    <col min="6672" max="6915" width="8.85546875" style="5" hidden="1"/>
    <col min="6916" max="6916" width="45.85546875" style="5" hidden="1"/>
    <col min="6917" max="6921" width="14.85546875" style="5" hidden="1"/>
    <col min="6922" max="6922" width="8.5703125" style="5" hidden="1"/>
    <col min="6923" max="6923" width="8.85546875" style="5" hidden="1"/>
    <col min="6924" max="6927" width="9.42578125" style="5" hidden="1"/>
    <col min="6928" max="7171" width="8.85546875" style="5" hidden="1"/>
    <col min="7172" max="7172" width="45.85546875" style="5" hidden="1"/>
    <col min="7173" max="7177" width="14.85546875" style="5" hidden="1"/>
    <col min="7178" max="7178" width="8.5703125" style="5" hidden="1"/>
    <col min="7179" max="7179" width="8.85546875" style="5" hidden="1"/>
    <col min="7180" max="7183" width="9.42578125" style="5" hidden="1"/>
    <col min="7184" max="7427" width="8.85546875" style="5" hidden="1"/>
    <col min="7428" max="7428" width="45.85546875" style="5" hidden="1"/>
    <col min="7429" max="7433" width="14.85546875" style="5" hidden="1"/>
    <col min="7434" max="7434" width="8.5703125" style="5" hidden="1"/>
    <col min="7435" max="7435" width="8.85546875" style="5" hidden="1"/>
    <col min="7436" max="7439" width="9.42578125" style="5" hidden="1"/>
    <col min="7440" max="7683" width="8.85546875" style="5" hidden="1"/>
    <col min="7684" max="7684" width="45.85546875" style="5" hidden="1"/>
    <col min="7685" max="7689" width="14.85546875" style="5" hidden="1"/>
    <col min="7690" max="7690" width="8.5703125" style="5" hidden="1"/>
    <col min="7691" max="7691" width="8.85546875" style="5" hidden="1"/>
    <col min="7692" max="7695" width="9.42578125" style="5" hidden="1"/>
    <col min="7696" max="7939" width="8.85546875" style="5" hidden="1"/>
    <col min="7940" max="7940" width="45.85546875" style="5" hidden="1"/>
    <col min="7941" max="7945" width="14.85546875" style="5" hidden="1"/>
    <col min="7946" max="7946" width="8.5703125" style="5" hidden="1"/>
    <col min="7947" max="7947" width="8.85546875" style="5" hidden="1"/>
    <col min="7948" max="7951" width="9.42578125" style="5" hidden="1"/>
    <col min="7952" max="8195" width="8.85546875" style="5" hidden="1"/>
    <col min="8196" max="8196" width="45.85546875" style="5" hidden="1"/>
    <col min="8197" max="8201" width="14.85546875" style="5" hidden="1"/>
    <col min="8202" max="8202" width="8.5703125" style="5" hidden="1"/>
    <col min="8203" max="8203" width="8.85546875" style="5" hidden="1"/>
    <col min="8204" max="8207" width="9.42578125" style="5" hidden="1"/>
    <col min="8208" max="8451" width="8.85546875" style="5" hidden="1"/>
    <col min="8452" max="8452" width="45.85546875" style="5" hidden="1"/>
    <col min="8453" max="8457" width="14.85546875" style="5" hidden="1"/>
    <col min="8458" max="8458" width="8.5703125" style="5" hidden="1"/>
    <col min="8459" max="8459" width="8.85546875" style="5" hidden="1"/>
    <col min="8460" max="8463" width="9.42578125" style="5" hidden="1"/>
    <col min="8464" max="8707" width="8.85546875" style="5" hidden="1"/>
    <col min="8708" max="8708" width="45.85546875" style="5" hidden="1"/>
    <col min="8709" max="8713" width="14.85546875" style="5" hidden="1"/>
    <col min="8714" max="8714" width="8.5703125" style="5" hidden="1"/>
    <col min="8715" max="8715" width="8.85546875" style="5" hidden="1"/>
    <col min="8716" max="8719" width="9.42578125" style="5" hidden="1"/>
    <col min="8720" max="8963" width="8.85546875" style="5" hidden="1"/>
    <col min="8964" max="8964" width="45.85546875" style="5" hidden="1"/>
    <col min="8965" max="8969" width="14.85546875" style="5" hidden="1"/>
    <col min="8970" max="8970" width="8.5703125" style="5" hidden="1"/>
    <col min="8971" max="8971" width="8.85546875" style="5" hidden="1"/>
    <col min="8972" max="8975" width="9.42578125" style="5" hidden="1"/>
    <col min="8976" max="9219" width="8.85546875" style="5" hidden="1"/>
    <col min="9220" max="9220" width="45.85546875" style="5" hidden="1"/>
    <col min="9221" max="9225" width="14.85546875" style="5" hidden="1"/>
    <col min="9226" max="9226" width="8.5703125" style="5" hidden="1"/>
    <col min="9227" max="9227" width="8.85546875" style="5" hidden="1"/>
    <col min="9228" max="9231" width="9.42578125" style="5" hidden="1"/>
    <col min="9232" max="9475" width="8.85546875" style="5" hidden="1"/>
    <col min="9476" max="9476" width="45.85546875" style="5" hidden="1"/>
    <col min="9477" max="9481" width="14.85546875" style="5" hidden="1"/>
    <col min="9482" max="9482" width="8.5703125" style="5" hidden="1"/>
    <col min="9483" max="9483" width="8.85546875" style="5" hidden="1"/>
    <col min="9484" max="9487" width="9.42578125" style="5" hidden="1"/>
    <col min="9488" max="9731" width="8.85546875" style="5" hidden="1"/>
    <col min="9732" max="9732" width="45.85546875" style="5" hidden="1"/>
    <col min="9733" max="9737" width="14.85546875" style="5" hidden="1"/>
    <col min="9738" max="9738" width="8.5703125" style="5" hidden="1"/>
    <col min="9739" max="9739" width="8.85546875" style="5" hidden="1"/>
    <col min="9740" max="9743" width="9.42578125" style="5" hidden="1"/>
    <col min="9744" max="9987" width="8.85546875" style="5" hidden="1"/>
    <col min="9988" max="9988" width="45.85546875" style="5" hidden="1"/>
    <col min="9989" max="9993" width="14.85546875" style="5" hidden="1"/>
    <col min="9994" max="9994" width="8.5703125" style="5" hidden="1"/>
    <col min="9995" max="9995" width="8.85546875" style="5" hidden="1"/>
    <col min="9996" max="9999" width="9.42578125" style="5" hidden="1"/>
    <col min="10000" max="10243" width="8.85546875" style="5" hidden="1"/>
    <col min="10244" max="10244" width="45.85546875" style="5" hidden="1"/>
    <col min="10245" max="10249" width="14.85546875" style="5" hidden="1"/>
    <col min="10250" max="10250" width="8.5703125" style="5" hidden="1"/>
    <col min="10251" max="10251" width="8.85546875" style="5" hidden="1"/>
    <col min="10252" max="10255" width="9.42578125" style="5" hidden="1"/>
    <col min="10256" max="10499" width="8.85546875" style="5" hidden="1"/>
    <col min="10500" max="10500" width="45.85546875" style="5" hidden="1"/>
    <col min="10501" max="10505" width="14.85546875" style="5" hidden="1"/>
    <col min="10506" max="10506" width="8.5703125" style="5" hidden="1"/>
    <col min="10507" max="10507" width="8.85546875" style="5" hidden="1"/>
    <col min="10508" max="10511" width="9.42578125" style="5" hidden="1"/>
    <col min="10512" max="10755" width="8.85546875" style="5" hidden="1"/>
    <col min="10756" max="10756" width="45.85546875" style="5" hidden="1"/>
    <col min="10757" max="10761" width="14.85546875" style="5" hidden="1"/>
    <col min="10762" max="10762" width="8.5703125" style="5" hidden="1"/>
    <col min="10763" max="10763" width="8.85546875" style="5" hidden="1"/>
    <col min="10764" max="10767" width="9.42578125" style="5" hidden="1"/>
    <col min="10768" max="11011" width="8.85546875" style="5" hidden="1"/>
    <col min="11012" max="11012" width="45.85546875" style="5" hidden="1"/>
    <col min="11013" max="11017" width="14.85546875" style="5" hidden="1"/>
    <col min="11018" max="11018" width="8.5703125" style="5" hidden="1"/>
    <col min="11019" max="11019" width="8.85546875" style="5" hidden="1"/>
    <col min="11020" max="11023" width="9.42578125" style="5" hidden="1"/>
    <col min="11024" max="11267" width="8.85546875" style="5" hidden="1"/>
    <col min="11268" max="11268" width="45.85546875" style="5" hidden="1"/>
    <col min="11269" max="11273" width="14.85546875" style="5" hidden="1"/>
    <col min="11274" max="11274" width="8.5703125" style="5" hidden="1"/>
    <col min="11275" max="11275" width="8.85546875" style="5" hidden="1"/>
    <col min="11276" max="11279" width="9.42578125" style="5" hidden="1"/>
    <col min="11280" max="11523" width="8.85546875" style="5" hidden="1"/>
    <col min="11524" max="11524" width="45.85546875" style="5" hidden="1"/>
    <col min="11525" max="11529" width="14.85546875" style="5" hidden="1"/>
    <col min="11530" max="11530" width="8.5703125" style="5" hidden="1"/>
    <col min="11531" max="11531" width="8.85546875" style="5" hidden="1"/>
    <col min="11532" max="11535" width="9.42578125" style="5" hidden="1"/>
    <col min="11536" max="11779" width="8.85546875" style="5" hidden="1"/>
    <col min="11780" max="11780" width="45.85546875" style="5" hidden="1"/>
    <col min="11781" max="11785" width="14.85546875" style="5" hidden="1"/>
    <col min="11786" max="11786" width="8.5703125" style="5" hidden="1"/>
    <col min="11787" max="11787" width="8.85546875" style="5" hidden="1"/>
    <col min="11788" max="11791" width="9.42578125" style="5" hidden="1"/>
    <col min="11792" max="12035" width="8.85546875" style="5" hidden="1"/>
    <col min="12036" max="12036" width="45.85546875" style="5" hidden="1"/>
    <col min="12037" max="12041" width="14.85546875" style="5" hidden="1"/>
    <col min="12042" max="12042" width="8.5703125" style="5" hidden="1"/>
    <col min="12043" max="12043" width="8.85546875" style="5" hidden="1"/>
    <col min="12044" max="12047" width="9.42578125" style="5" hidden="1"/>
    <col min="12048" max="12291" width="8.85546875" style="5" hidden="1"/>
    <col min="12292" max="12292" width="45.85546875" style="5" hidden="1"/>
    <col min="12293" max="12297" width="14.85546875" style="5" hidden="1"/>
    <col min="12298" max="12298" width="8.5703125" style="5" hidden="1"/>
    <col min="12299" max="12299" width="8.85546875" style="5" hidden="1"/>
    <col min="12300" max="12303" width="9.42578125" style="5" hidden="1"/>
    <col min="12304" max="12547" width="8.85546875" style="5" hidden="1"/>
    <col min="12548" max="12548" width="45.85546875" style="5" hidden="1"/>
    <col min="12549" max="12553" width="14.85546875" style="5" hidden="1"/>
    <col min="12554" max="12554" width="8.5703125" style="5" hidden="1"/>
    <col min="12555" max="12555" width="8.85546875" style="5" hidden="1"/>
    <col min="12556" max="12559" width="9.42578125" style="5" hidden="1"/>
    <col min="12560" max="12803" width="8.85546875" style="5" hidden="1"/>
    <col min="12804" max="12804" width="45.85546875" style="5" hidden="1"/>
    <col min="12805" max="12809" width="14.85546875" style="5" hidden="1"/>
    <col min="12810" max="12810" width="8.5703125" style="5" hidden="1"/>
    <col min="12811" max="12811" width="8.85546875" style="5" hidden="1"/>
    <col min="12812" max="12815" width="9.42578125" style="5" hidden="1"/>
    <col min="12816" max="13059" width="8.85546875" style="5" hidden="1"/>
    <col min="13060" max="13060" width="45.85546875" style="5" hidden="1"/>
    <col min="13061" max="13065" width="14.85546875" style="5" hidden="1"/>
    <col min="13066" max="13066" width="8.5703125" style="5" hidden="1"/>
    <col min="13067" max="13067" width="8.85546875" style="5" hidden="1"/>
    <col min="13068" max="13071" width="9.42578125" style="5" hidden="1"/>
    <col min="13072" max="13315" width="8.85546875" style="5" hidden="1"/>
    <col min="13316" max="13316" width="45.85546875" style="5" hidden="1"/>
    <col min="13317" max="13321" width="14.85546875" style="5" hidden="1"/>
    <col min="13322" max="13322" width="8.5703125" style="5" hidden="1"/>
    <col min="13323" max="13323" width="8.85546875" style="5" hidden="1"/>
    <col min="13324" max="13327" width="9.42578125" style="5" hidden="1"/>
    <col min="13328" max="13571" width="8.85546875" style="5" hidden="1"/>
    <col min="13572" max="13572" width="45.85546875" style="5" hidden="1"/>
    <col min="13573" max="13577" width="14.85546875" style="5" hidden="1"/>
    <col min="13578" max="13578" width="8.5703125" style="5" hidden="1"/>
    <col min="13579" max="13579" width="8.85546875" style="5" hidden="1"/>
    <col min="13580" max="13583" width="9.42578125" style="5" hidden="1"/>
    <col min="13584" max="13827" width="8.85546875" style="5" hidden="1"/>
    <col min="13828" max="13828" width="45.85546875" style="5" hidden="1"/>
    <col min="13829" max="13833" width="14.85546875" style="5" hidden="1"/>
    <col min="13834" max="13834" width="8.5703125" style="5" hidden="1"/>
    <col min="13835" max="13835" width="8.85546875" style="5" hidden="1"/>
    <col min="13836" max="13839" width="9.42578125" style="5" hidden="1"/>
    <col min="13840" max="14083" width="8.85546875" style="5" hidden="1"/>
    <col min="14084" max="14084" width="45.85546875" style="5" hidden="1"/>
    <col min="14085" max="14089" width="14.85546875" style="5" hidden="1"/>
    <col min="14090" max="14090" width="8.5703125" style="5" hidden="1"/>
    <col min="14091" max="14091" width="8.85546875" style="5" hidden="1"/>
    <col min="14092" max="14095" width="9.42578125" style="5" hidden="1"/>
    <col min="14096" max="14339" width="8.85546875" style="5" hidden="1"/>
    <col min="14340" max="14340" width="45.85546875" style="5" hidden="1"/>
    <col min="14341" max="14345" width="14.85546875" style="5" hidden="1"/>
    <col min="14346" max="14346" width="8.5703125" style="5" hidden="1"/>
    <col min="14347" max="14347" width="8.85546875" style="5" hidden="1"/>
    <col min="14348" max="14351" width="9.42578125" style="5" hidden="1"/>
    <col min="14352" max="14595" width="8.85546875" style="5" hidden="1"/>
    <col min="14596" max="14596" width="45.85546875" style="5" hidden="1"/>
    <col min="14597" max="14601" width="14.85546875" style="5" hidden="1"/>
    <col min="14602" max="14602" width="8.5703125" style="5" hidden="1"/>
    <col min="14603" max="14603" width="8.85546875" style="5" hidden="1"/>
    <col min="14604" max="14607" width="9.42578125" style="5" hidden="1"/>
    <col min="14608" max="14851" width="8.85546875" style="5" hidden="1"/>
    <col min="14852" max="14852" width="45.85546875" style="5" hidden="1"/>
    <col min="14853" max="14857" width="14.85546875" style="5" hidden="1"/>
    <col min="14858" max="14858" width="8.5703125" style="5" hidden="1"/>
    <col min="14859" max="14859" width="8.85546875" style="5" hidden="1"/>
    <col min="14860" max="14863" width="9.42578125" style="5" hidden="1"/>
    <col min="14864" max="15107" width="8.85546875" style="5" hidden="1"/>
    <col min="15108" max="15108" width="45.85546875" style="5" hidden="1"/>
    <col min="15109" max="15113" width="14.85546875" style="5" hidden="1"/>
    <col min="15114" max="15114" width="8.5703125" style="5" hidden="1"/>
    <col min="15115" max="15115" width="8.85546875" style="5" hidden="1"/>
    <col min="15116" max="15119" width="9.42578125" style="5" hidden="1"/>
    <col min="15120" max="15363" width="8.85546875" style="5" hidden="1"/>
    <col min="15364" max="15364" width="45.85546875" style="5" hidden="1"/>
    <col min="15365" max="15369" width="14.85546875" style="5" hidden="1"/>
    <col min="15370" max="15370" width="8.5703125" style="5" hidden="1"/>
    <col min="15371" max="15371" width="8.85546875" style="5" hidden="1"/>
    <col min="15372" max="15375" width="9.42578125" style="5" hidden="1"/>
    <col min="15376" max="15619" width="8.85546875" style="5" hidden="1"/>
    <col min="15620" max="15620" width="45.85546875" style="5" hidden="1"/>
    <col min="15621" max="15625" width="14.85546875" style="5" hidden="1"/>
    <col min="15626" max="15626" width="8.5703125" style="5" hidden="1"/>
    <col min="15627" max="15627" width="8.85546875" style="5" hidden="1"/>
    <col min="15628" max="15631" width="9.42578125" style="5" hidden="1"/>
    <col min="15632" max="15875" width="8.85546875" style="5" hidden="1"/>
    <col min="15876" max="15876" width="45.85546875" style="5" hidden="1"/>
    <col min="15877" max="15881" width="14.85546875" style="5" hidden="1"/>
    <col min="15882" max="15882" width="8.5703125" style="5" hidden="1"/>
    <col min="15883" max="15883" width="8.85546875" style="5" hidden="1"/>
    <col min="15884" max="15887" width="9.42578125" style="5" hidden="1"/>
    <col min="15888" max="16131" width="8.85546875" style="5" hidden="1"/>
    <col min="16132" max="16132" width="45.85546875" style="5" hidden="1"/>
    <col min="16133" max="16137" width="14.85546875" style="5" hidden="1"/>
    <col min="16138" max="16138" width="8.5703125" style="5" hidden="1"/>
    <col min="16139" max="16139" width="8.85546875" style="5" hidden="1"/>
    <col min="16140" max="16143" width="9.42578125" style="5" hidden="1"/>
    <col min="16144" max="16384" width="8.85546875" style="5" hidden="1"/>
  </cols>
  <sheetData>
    <row r="1" spans="1:256" x14ac:dyDescent="0.2">
      <c r="A1" s="52" t="s">
        <v>243</v>
      </c>
      <c r="B1" s="52"/>
      <c r="C1" s="52"/>
      <c r="D1" s="52"/>
      <c r="E1" s="204"/>
      <c r="F1" s="204"/>
      <c r="G1" s="204"/>
      <c r="H1" s="204"/>
      <c r="I1" s="205"/>
      <c r="J1" s="273"/>
      <c r="K1" s="205"/>
      <c r="L1" s="205"/>
      <c r="M1" s="205"/>
      <c r="N1" s="205"/>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c r="ED1" s="30"/>
      <c r="EE1" s="30"/>
      <c r="EF1" s="30"/>
      <c r="EG1" s="30"/>
      <c r="EH1" s="30"/>
      <c r="EI1" s="30"/>
      <c r="EJ1" s="30"/>
      <c r="EK1" s="30"/>
      <c r="EL1" s="30"/>
      <c r="EM1" s="30"/>
      <c r="EN1" s="30"/>
      <c r="EO1" s="30"/>
      <c r="EP1" s="30"/>
      <c r="EQ1" s="30"/>
      <c r="ER1" s="30"/>
      <c r="ES1" s="30"/>
      <c r="ET1" s="30"/>
      <c r="EU1" s="30"/>
      <c r="EV1" s="30"/>
      <c r="EW1" s="30"/>
      <c r="EX1" s="30"/>
      <c r="EY1" s="30"/>
      <c r="EZ1" s="30"/>
      <c r="FA1" s="30"/>
      <c r="FB1" s="30"/>
      <c r="FC1" s="30"/>
      <c r="FD1" s="30"/>
      <c r="FE1" s="30"/>
      <c r="FF1" s="30"/>
      <c r="FG1" s="30"/>
      <c r="FH1" s="30"/>
      <c r="FI1" s="30"/>
      <c r="FJ1" s="30"/>
      <c r="FK1" s="30"/>
      <c r="FL1" s="30"/>
      <c r="FM1" s="30"/>
      <c r="FN1" s="30"/>
      <c r="FO1" s="30"/>
      <c r="FP1" s="30"/>
      <c r="FQ1" s="30"/>
      <c r="FR1" s="30"/>
      <c r="FS1" s="30"/>
      <c r="FT1" s="30"/>
      <c r="FU1" s="30"/>
      <c r="FV1" s="30"/>
      <c r="FW1" s="30"/>
      <c r="FX1" s="30"/>
      <c r="FY1" s="30"/>
      <c r="FZ1" s="30"/>
      <c r="GA1" s="30"/>
      <c r="GB1" s="30"/>
      <c r="GC1" s="30"/>
      <c r="GD1" s="30"/>
      <c r="GE1" s="30"/>
      <c r="GF1" s="30"/>
      <c r="GG1" s="30"/>
      <c r="GH1" s="30"/>
      <c r="GI1" s="30"/>
      <c r="GJ1" s="30"/>
      <c r="GK1" s="30"/>
      <c r="GL1" s="30"/>
      <c r="GM1" s="30"/>
      <c r="GN1" s="30"/>
      <c r="GO1" s="30"/>
      <c r="GP1" s="30"/>
      <c r="GQ1" s="30"/>
      <c r="GR1" s="30"/>
      <c r="GS1" s="30"/>
      <c r="GT1" s="30"/>
      <c r="GU1" s="30"/>
      <c r="GV1" s="30"/>
      <c r="GW1" s="30"/>
      <c r="GX1" s="30"/>
      <c r="GY1" s="30"/>
      <c r="GZ1" s="30"/>
      <c r="HA1" s="30"/>
      <c r="HB1" s="30"/>
      <c r="HC1" s="30"/>
      <c r="HD1" s="30"/>
      <c r="HE1" s="30"/>
      <c r="HF1" s="30"/>
      <c r="HG1" s="30"/>
      <c r="HH1" s="30"/>
      <c r="HI1" s="30"/>
      <c r="HJ1" s="30"/>
      <c r="HK1" s="30"/>
      <c r="HL1" s="30"/>
      <c r="HM1" s="30"/>
      <c r="HN1" s="30"/>
      <c r="HO1" s="30"/>
      <c r="HP1" s="30"/>
      <c r="HQ1" s="30"/>
      <c r="HR1" s="30"/>
      <c r="HS1" s="30"/>
      <c r="HT1" s="30"/>
      <c r="HU1" s="30"/>
      <c r="HV1" s="30"/>
      <c r="HW1" s="30"/>
      <c r="HX1" s="30"/>
      <c r="HY1" s="30"/>
      <c r="HZ1" s="30"/>
      <c r="IA1" s="30"/>
      <c r="IB1" s="30"/>
      <c r="IC1" s="30"/>
      <c r="ID1" s="30"/>
      <c r="IE1" s="30"/>
      <c r="IF1" s="30"/>
      <c r="IG1" s="30"/>
      <c r="IH1" s="30"/>
      <c r="II1" s="30"/>
      <c r="IJ1" s="30"/>
      <c r="IK1" s="30"/>
      <c r="IL1" s="30"/>
      <c r="IM1" s="30"/>
      <c r="IN1" s="30"/>
      <c r="IO1" s="30"/>
      <c r="IP1" s="30"/>
      <c r="IQ1" s="30"/>
      <c r="IR1" s="30"/>
      <c r="IS1" s="30"/>
      <c r="IT1" s="30"/>
      <c r="IU1" s="30"/>
      <c r="IV1" s="30"/>
    </row>
    <row r="2" spans="1:256" x14ac:dyDescent="0.2">
      <c r="A2" s="41" t="s">
        <v>325</v>
      </c>
      <c r="B2" s="204"/>
      <c r="C2" s="204"/>
      <c r="D2" s="204"/>
      <c r="E2" s="204"/>
      <c r="F2" s="204"/>
      <c r="G2" s="204"/>
      <c r="H2" s="204"/>
      <c r="I2" s="205"/>
      <c r="J2" s="274" t="s">
        <v>334</v>
      </c>
      <c r="K2" s="205"/>
      <c r="L2" s="205"/>
      <c r="M2" s="205"/>
      <c r="N2" s="205"/>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c r="FI2" s="30"/>
      <c r="FJ2" s="30"/>
      <c r="FK2" s="30"/>
      <c r="FL2" s="30"/>
      <c r="FM2" s="30"/>
      <c r="FN2" s="30"/>
      <c r="FO2" s="30"/>
      <c r="FP2" s="30"/>
      <c r="FQ2" s="30"/>
      <c r="FR2" s="30"/>
      <c r="FS2" s="30"/>
      <c r="FT2" s="30"/>
      <c r="FU2" s="30"/>
      <c r="FV2" s="30"/>
      <c r="FW2" s="30"/>
      <c r="FX2" s="30"/>
      <c r="FY2" s="30"/>
      <c r="FZ2" s="30"/>
      <c r="GA2" s="30"/>
      <c r="GB2" s="30"/>
      <c r="GC2" s="30"/>
      <c r="GD2" s="30"/>
      <c r="GE2" s="30"/>
      <c r="GF2" s="30"/>
      <c r="GG2" s="30"/>
      <c r="GH2" s="30"/>
      <c r="GI2" s="30"/>
      <c r="GJ2" s="30"/>
      <c r="GK2" s="30"/>
      <c r="GL2" s="30"/>
      <c r="GM2" s="30"/>
      <c r="GN2" s="30"/>
      <c r="GO2" s="30"/>
      <c r="GP2" s="30"/>
      <c r="GQ2" s="30"/>
      <c r="GR2" s="30"/>
      <c r="GS2" s="30"/>
      <c r="GT2" s="30"/>
      <c r="GU2" s="30"/>
      <c r="GV2" s="30"/>
      <c r="GW2" s="30"/>
      <c r="GX2" s="30"/>
      <c r="GY2" s="30"/>
      <c r="GZ2" s="30"/>
      <c r="HA2" s="30"/>
      <c r="HB2" s="30"/>
      <c r="HC2" s="30"/>
      <c r="HD2" s="30"/>
      <c r="HE2" s="30"/>
      <c r="HF2" s="30"/>
      <c r="HG2" s="30"/>
      <c r="HH2" s="30"/>
      <c r="HI2" s="30"/>
      <c r="HJ2" s="30"/>
      <c r="HK2" s="30"/>
      <c r="HL2" s="30"/>
      <c r="HM2" s="30"/>
      <c r="HN2" s="30"/>
      <c r="HO2" s="30"/>
      <c r="HP2" s="30"/>
      <c r="HQ2" s="30"/>
      <c r="HR2" s="30"/>
      <c r="HS2" s="30"/>
      <c r="HT2" s="30"/>
      <c r="HU2" s="30"/>
      <c r="HV2" s="30"/>
      <c r="HW2" s="30"/>
      <c r="HX2" s="30"/>
      <c r="HY2" s="30"/>
      <c r="HZ2" s="30"/>
      <c r="IA2" s="30"/>
      <c r="IB2" s="30"/>
      <c r="IC2" s="30"/>
      <c r="ID2" s="30"/>
      <c r="IE2" s="30"/>
      <c r="IF2" s="30"/>
      <c r="IG2" s="30"/>
      <c r="IH2" s="30"/>
      <c r="II2" s="30"/>
      <c r="IJ2" s="30"/>
      <c r="IK2" s="30"/>
      <c r="IL2" s="30"/>
      <c r="IM2" s="30"/>
      <c r="IN2" s="30"/>
      <c r="IO2" s="30"/>
      <c r="IP2" s="30"/>
      <c r="IQ2" s="30"/>
      <c r="IR2" s="30"/>
      <c r="IS2" s="30"/>
      <c r="IT2" s="30"/>
      <c r="IU2" s="30"/>
      <c r="IV2" s="30"/>
    </row>
    <row r="3" spans="1:256" x14ac:dyDescent="0.2">
      <c r="A3" s="52" t="s">
        <v>65</v>
      </c>
      <c r="B3" s="52"/>
      <c r="C3" s="52"/>
      <c r="D3" s="52"/>
      <c r="E3" s="162">
        <v>12</v>
      </c>
      <c r="F3" s="162">
        <v>12</v>
      </c>
      <c r="G3" s="162">
        <v>12</v>
      </c>
      <c r="H3" s="162">
        <v>6</v>
      </c>
      <c r="I3" s="163">
        <v>6</v>
      </c>
      <c r="J3" s="270">
        <v>12</v>
      </c>
      <c r="K3" s="163">
        <v>12</v>
      </c>
      <c r="L3" s="163">
        <v>12</v>
      </c>
      <c r="M3" s="163">
        <v>12</v>
      </c>
      <c r="N3" s="163">
        <v>12</v>
      </c>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0"/>
      <c r="FG3" s="30"/>
      <c r="FH3" s="30"/>
      <c r="FI3" s="30"/>
      <c r="FJ3" s="30"/>
      <c r="FK3" s="30"/>
      <c r="FL3" s="30"/>
      <c r="FM3" s="30"/>
      <c r="FN3" s="30"/>
      <c r="FO3" s="30"/>
      <c r="FP3" s="30"/>
      <c r="FQ3" s="30"/>
      <c r="FR3" s="30"/>
      <c r="FS3" s="30"/>
      <c r="FT3" s="30"/>
      <c r="FU3" s="30"/>
      <c r="FV3" s="30"/>
      <c r="FW3" s="30"/>
      <c r="FX3" s="30"/>
      <c r="FY3" s="30"/>
      <c r="FZ3" s="30"/>
      <c r="GA3" s="30"/>
      <c r="GB3" s="30"/>
      <c r="GC3" s="30"/>
      <c r="GD3" s="30"/>
      <c r="GE3" s="30"/>
      <c r="GF3" s="30"/>
      <c r="GG3" s="30"/>
      <c r="GH3" s="30"/>
      <c r="GI3" s="30"/>
      <c r="GJ3" s="30"/>
      <c r="GK3" s="30"/>
      <c r="GL3" s="30"/>
      <c r="GM3" s="30"/>
      <c r="GN3" s="30"/>
      <c r="GO3" s="30"/>
      <c r="GP3" s="30"/>
      <c r="GQ3" s="30"/>
      <c r="GR3" s="30"/>
      <c r="GS3" s="30"/>
      <c r="GT3" s="30"/>
      <c r="GU3" s="30"/>
      <c r="GV3" s="30"/>
      <c r="GW3" s="30"/>
      <c r="GX3" s="30"/>
      <c r="GY3" s="30"/>
      <c r="GZ3" s="30"/>
      <c r="HA3" s="30"/>
      <c r="HB3" s="30"/>
      <c r="HC3" s="30"/>
      <c r="HD3" s="30"/>
      <c r="HE3" s="30"/>
      <c r="HF3" s="30"/>
      <c r="HG3" s="30"/>
      <c r="HH3" s="30"/>
      <c r="HI3" s="30"/>
      <c r="HJ3" s="30"/>
      <c r="HK3" s="30"/>
      <c r="HL3" s="30"/>
      <c r="HM3" s="30"/>
      <c r="HN3" s="30"/>
      <c r="HO3" s="30"/>
      <c r="HP3" s="30"/>
      <c r="HQ3" s="30"/>
      <c r="HR3" s="30"/>
      <c r="HS3" s="30"/>
      <c r="HT3" s="30"/>
      <c r="HU3" s="30"/>
      <c r="HV3" s="30"/>
      <c r="HW3" s="30"/>
      <c r="HX3" s="30"/>
      <c r="HY3" s="30"/>
      <c r="HZ3" s="30"/>
      <c r="IA3" s="30"/>
      <c r="IB3" s="30"/>
      <c r="IC3" s="30"/>
      <c r="ID3" s="30"/>
      <c r="IE3" s="30"/>
      <c r="IF3" s="30"/>
      <c r="IG3" s="30"/>
      <c r="IH3" s="30"/>
      <c r="II3" s="30"/>
      <c r="IJ3" s="30"/>
      <c r="IK3" s="30"/>
      <c r="IL3" s="30"/>
      <c r="IM3" s="30"/>
      <c r="IN3" s="30"/>
      <c r="IO3" s="30"/>
      <c r="IP3" s="30"/>
      <c r="IQ3" s="30"/>
      <c r="IR3" s="30"/>
      <c r="IS3" s="30"/>
      <c r="IT3" s="30"/>
      <c r="IU3" s="30"/>
      <c r="IV3" s="30"/>
    </row>
    <row r="4" spans="1:256" ht="12.6" customHeight="1" x14ac:dyDescent="0.2">
      <c r="A4" s="53"/>
      <c r="B4" s="54"/>
      <c r="C4" s="54"/>
      <c r="D4" s="54"/>
      <c r="E4" s="165">
        <v>43100</v>
      </c>
      <c r="F4" s="165">
        <v>43465</v>
      </c>
      <c r="G4" s="165">
        <v>43830</v>
      </c>
      <c r="H4" s="165">
        <v>43995</v>
      </c>
      <c r="I4" s="106">
        <v>44196</v>
      </c>
      <c r="J4" s="271">
        <v>44196</v>
      </c>
      <c r="K4" s="106">
        <v>44561</v>
      </c>
      <c r="L4" s="106">
        <v>44926</v>
      </c>
      <c r="M4" s="106">
        <v>45291</v>
      </c>
      <c r="N4" s="106">
        <v>45657</v>
      </c>
      <c r="O4" s="46"/>
      <c r="P4" s="46"/>
    </row>
    <row r="5" spans="1:256" x14ac:dyDescent="0.2">
      <c r="A5" s="32" t="s">
        <v>66</v>
      </c>
      <c r="B5" s="33"/>
      <c r="C5" s="33"/>
      <c r="D5" s="33"/>
      <c r="E5" s="33"/>
      <c r="F5" s="33"/>
      <c r="G5" s="33"/>
      <c r="H5" s="33"/>
      <c r="I5" s="107"/>
      <c r="J5" s="114"/>
      <c r="K5" s="107"/>
      <c r="L5" s="107"/>
      <c r="M5" s="107"/>
      <c r="N5" s="107"/>
    </row>
    <row r="6" spans="1:256" s="24" customFormat="1" x14ac:dyDescent="0.2">
      <c r="A6" s="32" t="s">
        <v>83</v>
      </c>
      <c r="B6" s="48"/>
      <c r="C6" s="48"/>
      <c r="D6" s="48">
        <f>'Revenue Segments'!B48</f>
        <v>62799</v>
      </c>
      <c r="E6" s="48">
        <f>'Revenue Segments'!C48</f>
        <v>63525</v>
      </c>
      <c r="F6" s="48">
        <f>'Revenue Segments'!D48</f>
        <v>64661</v>
      </c>
      <c r="G6" s="48">
        <f>'Revenue Segments'!E48</f>
        <v>67161</v>
      </c>
      <c r="H6" s="48">
        <f>'Revenue Segments'!H48</f>
        <v>29826</v>
      </c>
      <c r="I6" s="108">
        <f>'Revenue Segments'!K48</f>
        <v>39075.599684286448</v>
      </c>
      <c r="J6" s="138">
        <f>'Revenue Segments'!M48</f>
        <v>68901.599684286441</v>
      </c>
      <c r="K6" s="138">
        <f>'Revenue Segments'!N48</f>
        <v>71678.291914723755</v>
      </c>
      <c r="L6" s="138">
        <f>'Revenue Segments'!O48</f>
        <v>74607.792018468841</v>
      </c>
      <c r="M6" s="138">
        <f>'Revenue Segments'!P48</f>
        <v>77699.709872489751</v>
      </c>
      <c r="N6" s="138">
        <f>'Revenue Segments'!Q48</f>
        <v>80964.307688266126</v>
      </c>
      <c r="O6" s="199" t="s">
        <v>308</v>
      </c>
      <c r="P6" s="5"/>
    </row>
    <row r="7" spans="1:256" x14ac:dyDescent="0.2">
      <c r="A7" s="140" t="s">
        <v>175</v>
      </c>
      <c r="B7" s="141"/>
      <c r="C7" s="141"/>
      <c r="D7" s="141"/>
      <c r="E7" s="141">
        <f>28796</f>
        <v>28796</v>
      </c>
      <c r="F7" s="141">
        <v>29381</v>
      </c>
      <c r="G7" s="141">
        <v>30132</v>
      </c>
      <c r="H7" s="141">
        <v>13215</v>
      </c>
      <c r="I7" s="109"/>
      <c r="J7" s="138"/>
      <c r="K7" s="109"/>
      <c r="L7" s="109"/>
      <c r="M7" s="109"/>
      <c r="N7" s="109"/>
    </row>
    <row r="8" spans="1:256" x14ac:dyDescent="0.2">
      <c r="A8" s="142" t="s">
        <v>89</v>
      </c>
      <c r="B8" s="141"/>
      <c r="C8" s="141"/>
      <c r="D8" s="141"/>
      <c r="E8" s="141">
        <v>8</v>
      </c>
      <c r="F8" s="141">
        <f>-83-3</f>
        <v>-86</v>
      </c>
      <c r="G8" s="141">
        <f>57-115-34</f>
        <v>-92</v>
      </c>
      <c r="H8" s="141">
        <f>-24-3-19</f>
        <v>-46</v>
      </c>
      <c r="I8" s="109"/>
      <c r="J8" s="138"/>
      <c r="K8" s="109"/>
      <c r="L8" s="109"/>
      <c r="M8" s="109"/>
      <c r="N8" s="109"/>
    </row>
    <row r="9" spans="1:256" x14ac:dyDescent="0.2">
      <c r="A9" s="143" t="s">
        <v>176</v>
      </c>
      <c r="B9" s="48"/>
      <c r="C9" s="48"/>
      <c r="D9" s="48"/>
      <c r="E9" s="48">
        <f>E7+E8</f>
        <v>28804</v>
      </c>
      <c r="F9" s="48">
        <f>F7+F8</f>
        <v>29295</v>
      </c>
      <c r="G9" s="48">
        <f>G7+G8</f>
        <v>30040</v>
      </c>
      <c r="H9" s="48">
        <f>H7+H8</f>
        <v>13169</v>
      </c>
      <c r="I9" s="109">
        <f>I10+I11</f>
        <v>17066.61005517398</v>
      </c>
      <c r="J9" s="108">
        <f>H9+I9</f>
        <v>30235.61005517398</v>
      </c>
      <c r="K9" s="109">
        <f>SUM(K10:K11)</f>
        <v>32161.654103450717</v>
      </c>
      <c r="L9" s="109">
        <f>SUM(L10:L11)</f>
        <v>33476.10463674138</v>
      </c>
      <c r="M9" s="109">
        <f>SUM(M10:M11)</f>
        <v>34863.431118455119</v>
      </c>
      <c r="N9" s="109">
        <f>SUM(N10:N11)</f>
        <v>36328.238146262003</v>
      </c>
    </row>
    <row r="10" spans="1:256" x14ac:dyDescent="0.2">
      <c r="A10" s="81" t="s">
        <v>84</v>
      </c>
      <c r="B10" s="34"/>
      <c r="C10" s="34"/>
      <c r="D10" s="34"/>
      <c r="E10" s="34">
        <f>E9-E11</f>
        <v>26697</v>
      </c>
      <c r="F10" s="34">
        <f>F9-F11</f>
        <v>27151</v>
      </c>
      <c r="G10" s="34">
        <f>G9-G11</f>
        <v>27844</v>
      </c>
      <c r="H10" s="34">
        <f>H9-H11</f>
        <v>12155.878289473683</v>
      </c>
      <c r="I10" s="109">
        <f>I6*$I$63</f>
        <v>15925.643192194138</v>
      </c>
      <c r="J10" s="108">
        <f>H10+I10</f>
        <v>28081.52148166782</v>
      </c>
      <c r="K10" s="109">
        <f>K6*$K$63</f>
        <v>29787.759847165493</v>
      </c>
      <c r="L10" s="109">
        <f>L6*$K$63</f>
        <v>31005.189046879441</v>
      </c>
      <c r="M10" s="109">
        <f>M6*$K$63</f>
        <v>32290.115124809869</v>
      </c>
      <c r="N10" s="109">
        <f>N6*$K$63</f>
        <v>33646.802807178487</v>
      </c>
    </row>
    <row r="11" spans="1:256" x14ac:dyDescent="0.2">
      <c r="A11" s="81" t="s">
        <v>85</v>
      </c>
      <c r="B11" s="34"/>
      <c r="C11" s="34"/>
      <c r="D11" s="34"/>
      <c r="E11" s="34">
        <v>2107</v>
      </c>
      <c r="F11" s="34">
        <v>2144</v>
      </c>
      <c r="G11" s="34">
        <v>2196</v>
      </c>
      <c r="H11" s="202">
        <f>1122*G11/($G$11+$G$19+$G$20)</f>
        <v>1013.1217105263158</v>
      </c>
      <c r="I11" s="134">
        <f>'Fixed Assets Schedule'!G18</f>
        <v>1140.9668629798418</v>
      </c>
      <c r="J11" s="108">
        <f>H11+I11</f>
        <v>2154.0885735061574</v>
      </c>
      <c r="K11" s="134">
        <f>'Fixed Assets Schedule'!H18</f>
        <v>2373.8942562852249</v>
      </c>
      <c r="L11" s="134">
        <f>'Fixed Assets Schedule'!I18</f>
        <v>2470.9155898619379</v>
      </c>
      <c r="M11" s="134">
        <f>'Fixed Assets Schedule'!J18</f>
        <v>2573.3159936452521</v>
      </c>
      <c r="N11" s="134">
        <f>'Fixed Assets Schedule'!K18</f>
        <v>2681.4353390835172</v>
      </c>
      <c r="O11" s="199" t="s">
        <v>307</v>
      </c>
    </row>
    <row r="12" spans="1:256" x14ac:dyDescent="0.2">
      <c r="A12" s="81"/>
      <c r="B12" s="90"/>
      <c r="C12" s="90"/>
      <c r="D12" s="90"/>
      <c r="E12" s="90"/>
      <c r="F12" s="90"/>
      <c r="G12" s="90"/>
      <c r="H12" s="90"/>
      <c r="I12" s="144"/>
      <c r="J12" s="275"/>
      <c r="K12" s="144"/>
      <c r="L12" s="144"/>
      <c r="M12" s="144"/>
      <c r="N12" s="144"/>
      <c r="O12" s="145"/>
    </row>
    <row r="13" spans="1:256" s="24" customFormat="1" x14ac:dyDescent="0.2">
      <c r="A13" s="32" t="s">
        <v>90</v>
      </c>
      <c r="B13" s="84"/>
      <c r="C13" s="84">
        <f t="shared" ref="C13:H13" si="0">C6-C9</f>
        <v>0</v>
      </c>
      <c r="D13" s="84">
        <f t="shared" si="0"/>
        <v>62799</v>
      </c>
      <c r="E13" s="84">
        <f t="shared" si="0"/>
        <v>34721</v>
      </c>
      <c r="F13" s="84">
        <f t="shared" si="0"/>
        <v>35366</v>
      </c>
      <c r="G13" s="84">
        <f t="shared" si="0"/>
        <v>37121</v>
      </c>
      <c r="H13" s="84">
        <f t="shared" si="0"/>
        <v>16657</v>
      </c>
      <c r="I13" s="110">
        <f>I6-I9</f>
        <v>22008.989629112468</v>
      </c>
      <c r="J13" s="110">
        <f>SUM(H13:I13)</f>
        <v>38665.989629112468</v>
      </c>
      <c r="K13" s="110">
        <f>K6-K9</f>
        <v>39516.637811273038</v>
      </c>
      <c r="L13" s="110">
        <f>L6-L9</f>
        <v>41131.687381727461</v>
      </c>
      <c r="M13" s="110">
        <f>M6-M9</f>
        <v>42836.278754034633</v>
      </c>
      <c r="N13" s="110">
        <f>N6-N9</f>
        <v>44636.069542004123</v>
      </c>
    </row>
    <row r="14" spans="1:256" x14ac:dyDescent="0.2">
      <c r="A14" s="33"/>
      <c r="B14" s="36"/>
      <c r="C14" s="36"/>
      <c r="D14" s="36"/>
      <c r="E14" s="36"/>
      <c r="F14" s="36"/>
      <c r="G14" s="36"/>
      <c r="H14" s="36"/>
      <c r="I14" s="109"/>
      <c r="J14" s="138"/>
      <c r="K14" s="107"/>
      <c r="L14" s="107"/>
      <c r="M14" s="107"/>
      <c r="N14" s="107"/>
    </row>
    <row r="15" spans="1:256" x14ac:dyDescent="0.2">
      <c r="A15" s="140" t="s">
        <v>177</v>
      </c>
      <c r="B15" s="141"/>
      <c r="C15" s="141"/>
      <c r="D15" s="141"/>
      <c r="E15" s="141">
        <v>24453</v>
      </c>
      <c r="F15" s="141">
        <v>25170</v>
      </c>
      <c r="G15" s="141">
        <v>26738</v>
      </c>
      <c r="H15" s="141">
        <v>12368</v>
      </c>
      <c r="I15" s="109"/>
      <c r="J15" s="138"/>
      <c r="K15" s="109"/>
      <c r="L15" s="109"/>
      <c r="M15" s="109"/>
      <c r="N15" s="109"/>
    </row>
    <row r="16" spans="1:256" x14ac:dyDescent="0.2">
      <c r="A16" s="142" t="s">
        <v>89</v>
      </c>
      <c r="B16" s="141"/>
      <c r="C16" s="141"/>
      <c r="D16" s="141"/>
      <c r="E16" s="141">
        <f>7-229</f>
        <v>-222</v>
      </c>
      <c r="F16" s="141">
        <f>-80-269-75</f>
        <v>-424</v>
      </c>
      <c r="G16" s="141">
        <f>55-253-21</f>
        <v>-219</v>
      </c>
      <c r="H16" s="141">
        <f>-73-53-224</f>
        <v>-350</v>
      </c>
      <c r="I16" s="109"/>
      <c r="J16" s="138"/>
      <c r="K16" s="109"/>
      <c r="L16" s="109"/>
      <c r="M16" s="109"/>
      <c r="N16" s="109"/>
    </row>
    <row r="17" spans="1:15" s="24" customFormat="1" x14ac:dyDescent="0.2">
      <c r="A17" s="143" t="s">
        <v>178</v>
      </c>
      <c r="B17" s="48"/>
      <c r="C17" s="48"/>
      <c r="D17" s="48"/>
      <c r="E17" s="48">
        <f>E15+E16</f>
        <v>24231</v>
      </c>
      <c r="F17" s="48">
        <f>F15+F16</f>
        <v>24746</v>
      </c>
      <c r="G17" s="48">
        <f>G15+G16</f>
        <v>26519</v>
      </c>
      <c r="H17" s="48">
        <f>H15+H16</f>
        <v>12018</v>
      </c>
      <c r="I17" s="108">
        <f>SUM(I18:I20)</f>
        <v>15728.866801343424</v>
      </c>
      <c r="J17" s="108">
        <f>H17+I17</f>
        <v>27746.866801343422</v>
      </c>
      <c r="K17" s="108">
        <f>SUM(K18:K20)</f>
        <v>27974.960483067767</v>
      </c>
      <c r="L17" s="108">
        <f>SUM(L18:L20)</f>
        <v>29112.157340651371</v>
      </c>
      <c r="M17" s="108">
        <f>SUM(M18:M20)</f>
        <v>30312.747532982081</v>
      </c>
      <c r="N17" s="108">
        <f>SUM(N18:N20)</f>
        <v>31580.718642236072</v>
      </c>
    </row>
    <row r="18" spans="1:15" x14ac:dyDescent="0.2">
      <c r="A18" s="146" t="s">
        <v>86</v>
      </c>
      <c r="B18" s="34"/>
      <c r="C18" s="34"/>
      <c r="D18" s="34"/>
      <c r="E18" s="34">
        <f>E17-E20-E19</f>
        <v>23969</v>
      </c>
      <c r="F18" s="34">
        <f>F17-F20-F19</f>
        <v>24491</v>
      </c>
      <c r="G18" s="34">
        <f>G17-G20-G19</f>
        <v>26283</v>
      </c>
      <c r="H18" s="34">
        <f>H17-H20-H19</f>
        <v>11909.121710526315</v>
      </c>
      <c r="I18" s="109">
        <f>$I$64*I6</f>
        <v>15602.362789243311</v>
      </c>
      <c r="J18" s="108">
        <f>H18+I18</f>
        <v>27511.484499769627</v>
      </c>
      <c r="K18" s="109">
        <f>K6*$K$64</f>
        <v>27716.307242377581</v>
      </c>
      <c r="L18" s="109">
        <f>L6*$K$64</f>
        <v>28849.075933888453</v>
      </c>
      <c r="M18" s="109">
        <f>M6*$K$64</f>
        <v>30044.647744000646</v>
      </c>
      <c r="N18" s="109">
        <f>N6*$K$64</f>
        <v>31306.990828187147</v>
      </c>
    </row>
    <row r="19" spans="1:15" x14ac:dyDescent="0.2">
      <c r="A19" s="146" t="s">
        <v>95</v>
      </c>
      <c r="B19" s="34"/>
      <c r="C19" s="34"/>
      <c r="D19" s="34"/>
      <c r="E19" s="34">
        <v>194</v>
      </c>
      <c r="F19" s="34">
        <v>186</v>
      </c>
      <c r="G19" s="34">
        <v>155</v>
      </c>
      <c r="H19" s="202">
        <f>1122*G19/($G$11+$G$19+$G$20)</f>
        <v>71.509046052631575</v>
      </c>
      <c r="I19" s="134">
        <f>'Fixed Assets Schedule'!G19</f>
        <v>91.178204803481549</v>
      </c>
      <c r="J19" s="108">
        <f>H19+I19</f>
        <v>162.68725085611311</v>
      </c>
      <c r="K19" s="134">
        <f>'Fixed Assets Schedule'!H19</f>
        <v>189.70526112922425</v>
      </c>
      <c r="L19" s="134">
        <f>'Fixed Assets Schedule'!I19</f>
        <v>197.4585371534381</v>
      </c>
      <c r="M19" s="134">
        <f>'Fixed Assets Schedule'!J19</f>
        <v>205.64167138025505</v>
      </c>
      <c r="N19" s="134">
        <f>'Fixed Assets Schedule'!K19</f>
        <v>214.28182399243724</v>
      </c>
      <c r="O19" s="199" t="s">
        <v>307</v>
      </c>
    </row>
    <row r="20" spans="1:15" x14ac:dyDescent="0.2">
      <c r="A20" s="146" t="s">
        <v>96</v>
      </c>
      <c r="B20" s="34"/>
      <c r="C20" s="34"/>
      <c r="D20" s="34"/>
      <c r="E20" s="34">
        <v>68</v>
      </c>
      <c r="F20" s="34">
        <v>69</v>
      </c>
      <c r="G20" s="34">
        <v>81</v>
      </c>
      <c r="H20" s="202">
        <f>1122*G20/($G$11+$G$19+$G$20)</f>
        <v>37.36924342105263</v>
      </c>
      <c r="I20" s="134">
        <f>'Fixed Assets Schedule'!G27</f>
        <v>35.325807296631112</v>
      </c>
      <c r="J20" s="108">
        <f>H20+I20</f>
        <v>72.695050717683742</v>
      </c>
      <c r="K20" s="134">
        <f>'Fixed Assets Schedule'!H27</f>
        <v>68.947979560963631</v>
      </c>
      <c r="L20" s="134">
        <f>'Fixed Assets Schedule'!I27</f>
        <v>65.622869609478769</v>
      </c>
      <c r="M20" s="134">
        <f>'Fixed Assets Schedule'!J27</f>
        <v>62.458117601183339</v>
      </c>
      <c r="N20" s="134">
        <f>'Fixed Assets Schedule'!K27</f>
        <v>59.445990056487467</v>
      </c>
      <c r="O20" s="199" t="s">
        <v>307</v>
      </c>
    </row>
    <row r="21" spans="1:15" x14ac:dyDescent="0.2">
      <c r="A21" s="81"/>
      <c r="B21" s="34"/>
      <c r="C21" s="34"/>
      <c r="D21" s="34"/>
      <c r="E21" s="34"/>
      <c r="F21" s="34"/>
      <c r="G21" s="34"/>
      <c r="H21" s="34"/>
      <c r="I21" s="109"/>
      <c r="J21" s="138"/>
      <c r="K21" s="109"/>
      <c r="L21" s="109"/>
      <c r="M21" s="109"/>
      <c r="N21" s="109"/>
    </row>
    <row r="22" spans="1:15" x14ac:dyDescent="0.2">
      <c r="A22" s="143" t="s">
        <v>179</v>
      </c>
      <c r="B22" s="80"/>
      <c r="C22" s="80"/>
      <c r="D22" s="80"/>
      <c r="E22" s="80">
        <f>E13-E17</f>
        <v>10490</v>
      </c>
      <c r="F22" s="80">
        <f>F13-F17</f>
        <v>10620</v>
      </c>
      <c r="G22" s="80">
        <f>G13-G17</f>
        <v>10602</v>
      </c>
      <c r="H22" s="80">
        <f>H13-H17</f>
        <v>4639</v>
      </c>
      <c r="I22" s="111">
        <f>I13-I17</f>
        <v>6280.1228277690443</v>
      </c>
      <c r="J22" s="111">
        <f>H22+I22</f>
        <v>10919.122827769044</v>
      </c>
      <c r="K22" s="111">
        <f>K13-K17</f>
        <v>11541.677328205271</v>
      </c>
      <c r="L22" s="111">
        <f>L13-L17</f>
        <v>12019.53004107609</v>
      </c>
      <c r="M22" s="111">
        <f>M13-M17</f>
        <v>12523.531221052552</v>
      </c>
      <c r="N22" s="111">
        <f>N13-N17</f>
        <v>13055.350899768051</v>
      </c>
    </row>
    <row r="23" spans="1:15" x14ac:dyDescent="0.2">
      <c r="A23" s="32"/>
      <c r="B23" s="80"/>
      <c r="C23" s="80"/>
      <c r="D23" s="80"/>
      <c r="E23" s="80"/>
      <c r="F23" s="80"/>
      <c r="G23" s="80"/>
      <c r="H23" s="80"/>
      <c r="I23" s="112"/>
      <c r="J23" s="112"/>
      <c r="K23" s="112"/>
      <c r="L23" s="112"/>
      <c r="M23" s="112"/>
      <c r="N23" s="112"/>
    </row>
    <row r="24" spans="1:15" x14ac:dyDescent="0.2">
      <c r="A24" s="140" t="s">
        <v>181</v>
      </c>
      <c r="B24" s="147"/>
      <c r="C24" s="147"/>
      <c r="D24" s="147"/>
      <c r="E24" s="147">
        <v>233</v>
      </c>
      <c r="F24" s="147">
        <v>298</v>
      </c>
      <c r="G24" s="147">
        <v>-44</v>
      </c>
      <c r="H24" s="147">
        <v>161</v>
      </c>
      <c r="I24" s="107"/>
      <c r="J24" s="114"/>
      <c r="K24" s="107"/>
      <c r="L24" s="107"/>
      <c r="M24" s="107"/>
      <c r="N24" s="107"/>
    </row>
    <row r="25" spans="1:15" x14ac:dyDescent="0.2">
      <c r="A25" s="142" t="s">
        <v>89</v>
      </c>
      <c r="B25" s="147"/>
      <c r="C25" s="147"/>
      <c r="D25" s="147"/>
      <c r="E25" s="147">
        <v>66</v>
      </c>
      <c r="F25" s="147">
        <v>36</v>
      </c>
      <c r="G25" s="147">
        <f>2+273</f>
        <v>275</v>
      </c>
      <c r="H25" s="147">
        <v>7</v>
      </c>
      <c r="I25" s="107"/>
      <c r="J25" s="114"/>
      <c r="K25" s="107"/>
      <c r="L25" s="107"/>
      <c r="M25" s="107"/>
      <c r="N25" s="107"/>
    </row>
    <row r="26" spans="1:15" s="24" customFormat="1" x14ac:dyDescent="0.2">
      <c r="A26" s="143" t="s">
        <v>180</v>
      </c>
      <c r="B26" s="84"/>
      <c r="C26" s="84"/>
      <c r="D26" s="84"/>
      <c r="E26" s="84">
        <f>E24+E25</f>
        <v>299</v>
      </c>
      <c r="F26" s="84">
        <f>F24+F25</f>
        <v>334</v>
      </c>
      <c r="G26" s="84">
        <f>G24+G25</f>
        <v>231</v>
      </c>
      <c r="H26" s="84">
        <f>H24+H25</f>
        <v>168</v>
      </c>
      <c r="I26" s="113">
        <f>I6*$I$66</f>
        <v>220.09993787165973</v>
      </c>
      <c r="J26" s="113">
        <f>H26+I26</f>
        <v>388.09993787165973</v>
      </c>
      <c r="K26" s="113">
        <f>K6*$K$66</f>
        <v>339.47511131873944</v>
      </c>
      <c r="L26" s="113">
        <f>L6*$K$66</f>
        <v>353.34949849038514</v>
      </c>
      <c r="M26" s="113">
        <f>M6*$K$66</f>
        <v>367.99311135620093</v>
      </c>
      <c r="N26" s="113">
        <f>N6*$K$66</f>
        <v>383.45455271197557</v>
      </c>
    </row>
    <row r="27" spans="1:15" x14ac:dyDescent="0.2">
      <c r="A27" s="33"/>
      <c r="B27" s="36"/>
      <c r="C27" s="36"/>
      <c r="D27" s="36"/>
      <c r="E27" s="36"/>
      <c r="F27" s="36"/>
      <c r="G27" s="36"/>
      <c r="H27" s="36"/>
      <c r="I27" s="107"/>
      <c r="J27" s="114"/>
      <c r="K27" s="107"/>
      <c r="L27" s="107"/>
      <c r="M27" s="107"/>
      <c r="N27" s="107"/>
    </row>
    <row r="28" spans="1:15" x14ac:dyDescent="0.2">
      <c r="A28" s="140" t="s">
        <v>182</v>
      </c>
      <c r="B28" s="141"/>
      <c r="C28" s="141"/>
      <c r="D28" s="141"/>
      <c r="E28" s="141">
        <v>-1151</v>
      </c>
      <c r="F28" s="141">
        <v>-1525</v>
      </c>
      <c r="G28" s="141">
        <v>-1135</v>
      </c>
      <c r="H28" s="141"/>
      <c r="I28" s="107"/>
      <c r="J28" s="114"/>
      <c r="K28" s="107"/>
      <c r="L28" s="107"/>
      <c r="M28" s="107"/>
      <c r="N28" s="107"/>
    </row>
    <row r="29" spans="1:15" x14ac:dyDescent="0.2">
      <c r="A29" s="142" t="s">
        <v>89</v>
      </c>
      <c r="B29" s="141"/>
      <c r="C29" s="141"/>
      <c r="D29" s="141"/>
      <c r="E29" s="141">
        <v>0</v>
      </c>
      <c r="F29" s="141">
        <v>253</v>
      </c>
      <c r="G29" s="141">
        <v>0</v>
      </c>
      <c r="H29" s="141"/>
      <c r="I29" s="107"/>
      <c r="J29" s="114"/>
      <c r="K29" s="107"/>
      <c r="L29" s="107"/>
      <c r="M29" s="107"/>
      <c r="N29" s="107"/>
    </row>
    <row r="30" spans="1:15" s="24" customFormat="1" x14ac:dyDescent="0.2">
      <c r="A30" s="143" t="s">
        <v>183</v>
      </c>
      <c r="B30" s="48"/>
      <c r="C30" s="48"/>
      <c r="D30" s="48"/>
      <c r="E30" s="48">
        <f>E28+E29</f>
        <v>-1151</v>
      </c>
      <c r="F30" s="48">
        <f>F28+F29</f>
        <v>-1272</v>
      </c>
      <c r="G30" s="48">
        <f>G28+G29</f>
        <v>-1135</v>
      </c>
      <c r="H30" s="48">
        <v>-525</v>
      </c>
      <c r="I30" s="158">
        <f>-('Debt Schedule'!M35+'Debt Schedule'!B52)</f>
        <v>-674.03418090249806</v>
      </c>
      <c r="J30" s="48">
        <f>I30+H30</f>
        <v>-1199.0341809024981</v>
      </c>
      <c r="K30" s="158">
        <f>-SUM('Debt Schedule'!C52,'Debt Schedule'!N35)</f>
        <v>-1192.749</v>
      </c>
      <c r="L30" s="158">
        <f>-SUM('Debt Schedule'!D52,'Debt Schedule'!O35)</f>
        <v>-1102.6590000000001</v>
      </c>
      <c r="M30" s="158">
        <f>-SUM('Debt Schedule'!E52,'Debt Schedule'!P35)</f>
        <v>-997.30650000000003</v>
      </c>
      <c r="N30" s="158">
        <f>-SUM('Debt Schedule'!F52,'Debt Schedule'!Q35)</f>
        <v>-953.55450000000008</v>
      </c>
      <c r="O30" s="199" t="s">
        <v>98</v>
      </c>
    </row>
    <row r="31" spans="1:15" s="24" customFormat="1" x14ac:dyDescent="0.2">
      <c r="A31" s="143"/>
      <c r="B31" s="152"/>
      <c r="C31" s="152"/>
      <c r="D31" s="152"/>
      <c r="E31" s="152"/>
      <c r="F31" s="152"/>
      <c r="G31" s="152"/>
      <c r="H31" s="152"/>
      <c r="J31" s="70"/>
      <c r="O31" s="153"/>
    </row>
    <row r="32" spans="1:15" s="24" customFormat="1" x14ac:dyDescent="0.2">
      <c r="A32" s="32" t="s">
        <v>88</v>
      </c>
      <c r="B32" s="48"/>
      <c r="C32" s="48"/>
      <c r="D32" s="48"/>
      <c r="E32" s="48">
        <v>244</v>
      </c>
      <c r="F32" s="48">
        <v>306</v>
      </c>
      <c r="G32" s="48">
        <v>200</v>
      </c>
      <c r="H32" s="48"/>
      <c r="I32" s="159">
        <f>'Debt Schedule'!B61</f>
        <v>4.9609151772686237</v>
      </c>
      <c r="J32" s="48">
        <f>I32+H32</f>
        <v>4.9609151772686237</v>
      </c>
      <c r="K32" s="157">
        <f>'Debt Schedule'!C61</f>
        <v>10.321674035720219</v>
      </c>
      <c r="L32" s="157">
        <f>'Debt Schedule'!D61</f>
        <v>10.743522050659513</v>
      </c>
      <c r="M32" s="157">
        <f>'Debt Schedule'!E61</f>
        <v>11.188758221638524</v>
      </c>
      <c r="N32" s="157">
        <f>'Debt Schedule'!F61</f>
        <v>11.658860307110322</v>
      </c>
      <c r="O32" s="199" t="s">
        <v>98</v>
      </c>
    </row>
    <row r="33" spans="1:15" x14ac:dyDescent="0.2">
      <c r="A33" s="33"/>
      <c r="B33" s="90"/>
      <c r="C33" s="90"/>
      <c r="D33" s="90"/>
      <c r="E33" s="90"/>
      <c r="F33" s="90"/>
      <c r="G33" s="90"/>
      <c r="H33" s="90"/>
      <c r="I33" s="5"/>
      <c r="J33" s="24"/>
      <c r="K33" s="5"/>
      <c r="L33" s="5"/>
      <c r="M33" s="5"/>
      <c r="N33" s="5"/>
      <c r="O33" s="153"/>
    </row>
    <row r="34" spans="1:15" s="150" customFormat="1" x14ac:dyDescent="0.2">
      <c r="A34" s="143" t="s">
        <v>184</v>
      </c>
      <c r="B34" s="148">
        <f>B22+B26+B28+B32</f>
        <v>0</v>
      </c>
      <c r="C34" s="148">
        <f>C22+C26+C28+C32</f>
        <v>0</v>
      </c>
      <c r="D34" s="148">
        <f>D22+D26+D28+D32</f>
        <v>0</v>
      </c>
      <c r="E34" s="148">
        <f>E22+E26+E30+E32</f>
        <v>9882</v>
      </c>
      <c r="F34" s="148">
        <f>F22+F26+F30+F32</f>
        <v>9988</v>
      </c>
      <c r="G34" s="148">
        <f>G22+G26+G30+G32</f>
        <v>9898</v>
      </c>
      <c r="H34" s="148">
        <f>H22+H26+H30+H32</f>
        <v>4282</v>
      </c>
      <c r="I34" s="149">
        <f>I22+I26+I30+I32</f>
        <v>5831.1494999154738</v>
      </c>
      <c r="J34" s="149">
        <f>I34+H34</f>
        <v>10113.149499915475</v>
      </c>
      <c r="K34" s="149">
        <f>K22+K26+K30+K32</f>
        <v>10698.725113559731</v>
      </c>
      <c r="L34" s="149">
        <f>L22+L26+L30+L32</f>
        <v>11280.964061617135</v>
      </c>
      <c r="M34" s="149">
        <f>M22+M26+M30+M32</f>
        <v>11905.406590630391</v>
      </c>
      <c r="N34" s="149">
        <f>N22+N26+N30+N32</f>
        <v>12496.909812787137</v>
      </c>
    </row>
    <row r="35" spans="1:15" x14ac:dyDescent="0.2">
      <c r="A35" s="32"/>
      <c r="B35" s="80"/>
      <c r="C35" s="80"/>
      <c r="D35" s="80"/>
      <c r="E35" s="80"/>
      <c r="F35" s="80"/>
      <c r="G35" s="80"/>
      <c r="H35" s="80"/>
      <c r="I35" s="107"/>
      <c r="J35" s="114"/>
      <c r="K35" s="107"/>
      <c r="L35" s="107"/>
      <c r="M35" s="107"/>
      <c r="N35" s="107"/>
    </row>
    <row r="36" spans="1:15" x14ac:dyDescent="0.2">
      <c r="A36" s="33" t="s">
        <v>91</v>
      </c>
      <c r="B36" s="34"/>
      <c r="C36" s="34"/>
      <c r="D36" s="34"/>
      <c r="E36" s="34">
        <v>4694</v>
      </c>
      <c r="F36" s="34">
        <v>-3370</v>
      </c>
      <c r="G36" s="34">
        <v>1959</v>
      </c>
      <c r="H36" s="34">
        <v>870</v>
      </c>
      <c r="I36" s="107"/>
      <c r="J36" s="114"/>
      <c r="K36" s="107"/>
      <c r="L36" s="107"/>
      <c r="M36" s="107"/>
      <c r="N36" s="107"/>
    </row>
    <row r="37" spans="1:15" x14ac:dyDescent="0.2">
      <c r="A37" s="83" t="s">
        <v>89</v>
      </c>
      <c r="B37" s="34"/>
      <c r="C37" s="34"/>
      <c r="D37" s="34"/>
      <c r="E37" s="34">
        <f>-7+71-2451</f>
        <v>-2387</v>
      </c>
      <c r="F37" s="34">
        <f>38+56+28+5064+62</f>
        <v>5248</v>
      </c>
      <c r="G37" s="34">
        <f>-25+67+8+62+8</f>
        <v>120</v>
      </c>
      <c r="H37" s="34">
        <f>24+10+16</f>
        <v>50</v>
      </c>
      <c r="I37" s="107"/>
      <c r="J37" s="114"/>
      <c r="K37" s="107"/>
      <c r="L37" s="107"/>
      <c r="M37" s="107"/>
      <c r="N37" s="107"/>
    </row>
    <row r="38" spans="1:15" s="24" customFormat="1" x14ac:dyDescent="0.2">
      <c r="A38" s="143" t="s">
        <v>185</v>
      </c>
      <c r="B38" s="48"/>
      <c r="C38" s="48"/>
      <c r="D38" s="48"/>
      <c r="E38" s="48">
        <f>E36+E37</f>
        <v>2307</v>
      </c>
      <c r="F38" s="48">
        <f>F36+F37</f>
        <v>1878</v>
      </c>
      <c r="G38" s="48">
        <f>G36+G37</f>
        <v>2079</v>
      </c>
      <c r="H38" s="48">
        <f>H36+H37</f>
        <v>920</v>
      </c>
      <c r="I38" s="138">
        <f>I34*$I$68</f>
        <v>1252.8392199724979</v>
      </c>
      <c r="J38" s="138">
        <f>H38+I38</f>
        <v>2172.8392199724976</v>
      </c>
      <c r="K38" s="138">
        <f>K34*K68</f>
        <v>2420.0028792402754</v>
      </c>
      <c r="L38" s="138">
        <f t="shared" ref="L38:N38" si="1">L34*L68</f>
        <v>2716.4218833562386</v>
      </c>
      <c r="M38" s="138">
        <f t="shared" si="1"/>
        <v>3040.6227636241983</v>
      </c>
      <c r="N38" s="138">
        <f t="shared" si="1"/>
        <v>3374.1656494525264</v>
      </c>
    </row>
    <row r="39" spans="1:15" s="24" customFormat="1" x14ac:dyDescent="0.2">
      <c r="A39" s="32"/>
      <c r="B39" s="48"/>
      <c r="C39" s="48"/>
      <c r="D39" s="48"/>
      <c r="E39" s="48"/>
      <c r="F39" s="48"/>
      <c r="G39" s="48"/>
      <c r="H39" s="48"/>
      <c r="I39" s="138"/>
      <c r="J39" s="138"/>
      <c r="K39" s="138"/>
      <c r="L39" s="138"/>
      <c r="M39" s="138"/>
      <c r="N39" s="138"/>
    </row>
    <row r="40" spans="1:15" x14ac:dyDescent="0.2">
      <c r="A40" s="143" t="s">
        <v>186</v>
      </c>
      <c r="B40" s="80"/>
      <c r="C40" s="80"/>
      <c r="D40" s="80"/>
      <c r="E40" s="80">
        <f>E34-E38</f>
        <v>7575</v>
      </c>
      <c r="F40" s="80">
        <f>F34-F38</f>
        <v>8110</v>
      </c>
      <c r="G40" s="80">
        <f>G34-G38</f>
        <v>7819</v>
      </c>
      <c r="H40" s="80">
        <f>H34-H38</f>
        <v>3362</v>
      </c>
      <c r="I40" s="111">
        <f>I34-I38</f>
        <v>4578.3102799429762</v>
      </c>
      <c r="J40" s="111">
        <f>H40+I40</f>
        <v>7940.3102799429762</v>
      </c>
      <c r="K40" s="111">
        <f>K34-K38</f>
        <v>8278.7222343194553</v>
      </c>
      <c r="L40" s="111">
        <f>L34-L38</f>
        <v>8564.5421782608955</v>
      </c>
      <c r="M40" s="111">
        <f>M34-M38</f>
        <v>8864.783827006193</v>
      </c>
      <c r="N40" s="111">
        <f>N34-N38</f>
        <v>9122.7441633346098</v>
      </c>
    </row>
    <row r="41" spans="1:15" x14ac:dyDescent="0.2">
      <c r="A41" s="32"/>
      <c r="B41" s="80"/>
      <c r="C41" s="80"/>
      <c r="D41" s="80"/>
      <c r="E41" s="80"/>
      <c r="F41" s="80"/>
      <c r="G41" s="80"/>
      <c r="H41" s="80"/>
      <c r="I41" s="111"/>
      <c r="J41" s="111"/>
      <c r="K41" s="111"/>
      <c r="L41" s="111"/>
      <c r="M41" s="111"/>
      <c r="N41" s="111"/>
    </row>
    <row r="42" spans="1:15" x14ac:dyDescent="0.2">
      <c r="A42" s="140" t="s">
        <v>187</v>
      </c>
      <c r="B42" s="141"/>
      <c r="C42" s="141"/>
      <c r="D42" s="141"/>
      <c r="E42" s="141">
        <v>51</v>
      </c>
      <c r="F42" s="141">
        <v>44</v>
      </c>
      <c r="G42" s="141">
        <v>39</v>
      </c>
      <c r="H42" s="141">
        <v>25</v>
      </c>
      <c r="I42" s="107"/>
      <c r="J42" s="114"/>
      <c r="K42" s="107"/>
      <c r="L42" s="107"/>
      <c r="M42" s="107"/>
      <c r="N42" s="107"/>
    </row>
    <row r="43" spans="1:15" x14ac:dyDescent="0.2">
      <c r="A43" s="142" t="s">
        <v>89</v>
      </c>
      <c r="B43" s="141"/>
      <c r="C43" s="141"/>
      <c r="D43" s="141"/>
      <c r="E43" s="141">
        <v>0</v>
      </c>
      <c r="F43" s="141">
        <v>1</v>
      </c>
      <c r="G43" s="141">
        <v>5</v>
      </c>
      <c r="H43" s="141">
        <v>0</v>
      </c>
      <c r="I43" s="107"/>
      <c r="J43" s="114"/>
      <c r="K43" s="107"/>
      <c r="L43" s="107"/>
      <c r="M43" s="107"/>
      <c r="N43" s="107"/>
    </row>
    <row r="44" spans="1:15" s="24" customFormat="1" x14ac:dyDescent="0.2">
      <c r="A44" s="151" t="s">
        <v>188</v>
      </c>
      <c r="B44" s="48"/>
      <c r="C44" s="48"/>
      <c r="D44" s="48"/>
      <c r="E44" s="48">
        <f>E42+E43</f>
        <v>51</v>
      </c>
      <c r="F44" s="48">
        <f>F42+F43</f>
        <v>45</v>
      </c>
      <c r="G44" s="48">
        <f>G42+G43</f>
        <v>44</v>
      </c>
      <c r="H44" s="48">
        <f>H42+H43</f>
        <v>25</v>
      </c>
      <c r="I44" s="138">
        <f>I40*$I$70</f>
        <v>34.044544020991793</v>
      </c>
      <c r="J44" s="138">
        <f>H44+I44</f>
        <v>59.044544020991793</v>
      </c>
      <c r="K44" s="282">
        <f>K40*$K$70</f>
        <v>52.45552932300928</v>
      </c>
      <c r="L44" s="282">
        <f>L40*$K$70</f>
        <v>54.266537836903886</v>
      </c>
      <c r="M44" s="282">
        <f>M40*$K$70</f>
        <v>56.168924964286745</v>
      </c>
      <c r="N44" s="282">
        <f>N40*$K$70</f>
        <v>57.803409804272555</v>
      </c>
    </row>
    <row r="45" spans="1:15" s="24" customFormat="1" x14ac:dyDescent="0.2">
      <c r="A45" s="32"/>
      <c r="B45" s="48"/>
      <c r="C45" s="48"/>
      <c r="D45" s="48"/>
      <c r="E45" s="48"/>
      <c r="F45" s="48"/>
      <c r="G45" s="48"/>
      <c r="H45" s="48"/>
      <c r="I45" s="139"/>
      <c r="J45" s="139"/>
      <c r="K45" s="139"/>
      <c r="L45" s="139"/>
      <c r="M45" s="139"/>
      <c r="N45" s="139"/>
    </row>
    <row r="46" spans="1:15" x14ac:dyDescent="0.2">
      <c r="A46" s="151" t="s">
        <v>189</v>
      </c>
      <c r="B46" s="36"/>
      <c r="C46" s="36"/>
      <c r="D46" s="36"/>
      <c r="E46" s="84">
        <f>E40-E44</f>
        <v>7524</v>
      </c>
      <c r="F46" s="84">
        <f>F40-F44</f>
        <v>8065</v>
      </c>
      <c r="G46" s="84">
        <f>G40-G44</f>
        <v>7775</v>
      </c>
      <c r="H46" s="84">
        <f>H40-H44</f>
        <v>3337</v>
      </c>
      <c r="I46" s="84">
        <f t="shared" ref="I46:N46" si="2">I40-I44</f>
        <v>4544.2657359219847</v>
      </c>
      <c r="J46" s="84">
        <f>H46+I46</f>
        <v>7881.2657359219847</v>
      </c>
      <c r="K46" s="84">
        <f t="shared" si="2"/>
        <v>8226.2667049964457</v>
      </c>
      <c r="L46" s="84">
        <f t="shared" si="2"/>
        <v>8510.2756404239917</v>
      </c>
      <c r="M46" s="84">
        <f t="shared" si="2"/>
        <v>8808.614902041907</v>
      </c>
      <c r="N46" s="84">
        <f t="shared" si="2"/>
        <v>9064.940753530338</v>
      </c>
    </row>
    <row r="47" spans="1:15" x14ac:dyDescent="0.2">
      <c r="A47" s="151"/>
      <c r="B47" s="36"/>
      <c r="C47" s="36"/>
      <c r="D47" s="36"/>
      <c r="E47" s="84"/>
      <c r="F47" s="84"/>
      <c r="G47" s="84"/>
      <c r="H47" s="84"/>
      <c r="I47" s="110"/>
      <c r="J47" s="272"/>
      <c r="K47" s="110"/>
      <c r="L47" s="110"/>
      <c r="M47" s="110"/>
      <c r="N47" s="110"/>
    </row>
    <row r="48" spans="1:15" x14ac:dyDescent="0.2">
      <c r="A48" s="151" t="s">
        <v>195</v>
      </c>
      <c r="B48" s="36"/>
      <c r="C48" s="36"/>
      <c r="D48" s="36"/>
      <c r="E48" s="84">
        <v>1438</v>
      </c>
      <c r="F48" s="84">
        <v>1425</v>
      </c>
      <c r="G48" s="84">
        <v>1407</v>
      </c>
      <c r="H48" s="84">
        <v>1395</v>
      </c>
      <c r="I48" s="110">
        <f t="shared" ref="I48:N48" si="3">H48</f>
        <v>1395</v>
      </c>
      <c r="J48" s="272">
        <f t="shared" si="3"/>
        <v>1395</v>
      </c>
      <c r="K48" s="272">
        <f t="shared" si="3"/>
        <v>1395</v>
      </c>
      <c r="L48" s="272">
        <f t="shared" si="3"/>
        <v>1395</v>
      </c>
      <c r="M48" s="272">
        <f t="shared" si="3"/>
        <v>1395</v>
      </c>
      <c r="N48" s="272">
        <f t="shared" si="3"/>
        <v>1395</v>
      </c>
    </row>
    <row r="49" spans="1:17" x14ac:dyDescent="0.2">
      <c r="A49" s="151"/>
      <c r="B49" s="36"/>
      <c r="C49" s="36"/>
      <c r="D49" s="36"/>
      <c r="E49" s="84"/>
      <c r="F49" s="84"/>
      <c r="G49" s="84"/>
      <c r="H49" s="84"/>
      <c r="I49" s="110"/>
      <c r="J49" s="272"/>
      <c r="K49" s="110"/>
      <c r="L49" s="110"/>
      <c r="M49" s="110"/>
      <c r="N49" s="110"/>
    </row>
    <row r="50" spans="1:17" x14ac:dyDescent="0.2">
      <c r="A50" s="151" t="s">
        <v>196</v>
      </c>
      <c r="B50" s="36"/>
      <c r="C50" s="36"/>
      <c r="D50" s="36"/>
      <c r="E50" s="155">
        <f t="shared" ref="E50:N50" si="4">E46/E48</f>
        <v>5.2322670375521554</v>
      </c>
      <c r="F50" s="155">
        <f t="shared" si="4"/>
        <v>5.6596491228070178</v>
      </c>
      <c r="G50" s="155">
        <f t="shared" si="4"/>
        <v>5.5259417199715708</v>
      </c>
      <c r="H50" s="155">
        <f t="shared" si="4"/>
        <v>2.3921146953405019</v>
      </c>
      <c r="I50" s="156">
        <f t="shared" si="4"/>
        <v>3.2575381619512433</v>
      </c>
      <c r="J50" s="156">
        <f t="shared" si="4"/>
        <v>5.6496528572917457</v>
      </c>
      <c r="K50" s="156">
        <f t="shared" si="4"/>
        <v>5.8969653799257671</v>
      </c>
      <c r="L50" s="156">
        <f t="shared" si="4"/>
        <v>6.100556014640854</v>
      </c>
      <c r="M50" s="156">
        <f t="shared" si="4"/>
        <v>6.3144192846178546</v>
      </c>
      <c r="N50" s="156">
        <f t="shared" si="4"/>
        <v>6.4981654147170884</v>
      </c>
    </row>
    <row r="51" spans="1:17" x14ac:dyDescent="0.2">
      <c r="A51" s="32"/>
      <c r="B51" s="36"/>
      <c r="C51" s="36"/>
      <c r="D51" s="36"/>
      <c r="E51" s="36"/>
      <c r="F51" s="36"/>
      <c r="G51" s="36"/>
      <c r="H51" s="36"/>
      <c r="I51" s="107"/>
      <c r="J51" s="114"/>
      <c r="K51" s="107"/>
      <c r="L51" s="107"/>
      <c r="M51" s="107"/>
      <c r="N51" s="107"/>
    </row>
    <row r="52" spans="1:17" ht="24.6" customHeight="1" x14ac:dyDescent="0.2">
      <c r="A52" s="180" t="s">
        <v>302</v>
      </c>
      <c r="B52" s="36"/>
      <c r="C52" s="36"/>
      <c r="D52" s="36"/>
      <c r="E52" s="389" t="s">
        <v>310</v>
      </c>
      <c r="F52" s="390"/>
      <c r="G52" s="391"/>
      <c r="H52" s="200" t="s">
        <v>309</v>
      </c>
      <c r="I52" s="392" t="s">
        <v>306</v>
      </c>
      <c r="J52" s="393"/>
      <c r="K52" s="393"/>
      <c r="L52" s="393"/>
      <c r="M52" s="393"/>
      <c r="N52" s="394"/>
    </row>
    <row r="53" spans="1:17" x14ac:dyDescent="0.2">
      <c r="A53" s="32"/>
      <c r="B53" s="36"/>
      <c r="C53" s="36"/>
      <c r="D53" s="36"/>
      <c r="E53" s="36"/>
      <c r="F53" s="36"/>
      <c r="G53" s="36"/>
      <c r="H53" s="36"/>
      <c r="I53" s="107"/>
      <c r="J53" s="114"/>
      <c r="K53" s="107"/>
      <c r="L53" s="107"/>
      <c r="M53" s="107"/>
      <c r="N53" s="107"/>
    </row>
    <row r="54" spans="1:17" x14ac:dyDescent="0.2">
      <c r="A54" s="32"/>
      <c r="B54" s="36"/>
      <c r="C54" s="36"/>
      <c r="D54" s="36"/>
      <c r="E54" s="36"/>
      <c r="F54" s="36"/>
      <c r="G54" s="36"/>
      <c r="H54" s="36"/>
      <c r="I54" s="107"/>
      <c r="J54" s="114"/>
      <c r="K54" s="107"/>
      <c r="L54" s="107"/>
      <c r="M54" s="107"/>
      <c r="N54" s="107"/>
    </row>
    <row r="55" spans="1:17" x14ac:dyDescent="0.2">
      <c r="A55" s="49" t="s">
        <v>67</v>
      </c>
      <c r="B55" s="37"/>
      <c r="C55" s="66"/>
      <c r="D55" s="66"/>
      <c r="E55" s="66"/>
      <c r="F55" s="66"/>
      <c r="G55" s="66"/>
      <c r="H55" s="66"/>
      <c r="I55" s="115"/>
      <c r="J55" s="276"/>
      <c r="K55" s="115"/>
      <c r="L55" s="115"/>
      <c r="M55" s="115"/>
      <c r="N55" s="115"/>
    </row>
    <row r="56" spans="1:17" s="41" customFormat="1" x14ac:dyDescent="0.2">
      <c r="A56" s="41" t="s">
        <v>68</v>
      </c>
      <c r="B56" s="50"/>
      <c r="C56" s="12"/>
      <c r="D56" s="12"/>
      <c r="E56" s="12">
        <f>E6/D6-1</f>
        <v>1.1560693641618602E-2</v>
      </c>
      <c r="F56" s="12">
        <f>F6/E6-1</f>
        <v>1.7882723337268702E-2</v>
      </c>
      <c r="G56" s="12">
        <f>G6/F6-1</f>
        <v>3.8663181825211446E-2</v>
      </c>
      <c r="H56" s="12"/>
      <c r="I56" s="116"/>
      <c r="J56" s="120"/>
      <c r="K56" s="117"/>
      <c r="L56" s="117"/>
      <c r="M56" s="117"/>
      <c r="N56" s="117"/>
      <c r="O56" s="40"/>
      <c r="P56" s="40"/>
      <c r="Q56" s="40"/>
    </row>
    <row r="57" spans="1:17" s="41" customFormat="1" x14ac:dyDescent="0.2">
      <c r="A57" s="41" t="s">
        <v>92</v>
      </c>
      <c r="B57" s="12"/>
      <c r="C57" s="12"/>
      <c r="D57" s="12"/>
      <c r="E57" s="12">
        <f>E13/E6</f>
        <v>0.54657221566312475</v>
      </c>
      <c r="F57" s="12">
        <f>F13/F6</f>
        <v>0.54694483537217176</v>
      </c>
      <c r="G57" s="12">
        <f>G13/G6</f>
        <v>0.55271660636381237</v>
      </c>
      <c r="H57" s="12">
        <f>H13/H6</f>
        <v>0.55847247368068131</v>
      </c>
      <c r="I57" s="117"/>
      <c r="J57" s="277"/>
      <c r="K57" s="117"/>
      <c r="L57" s="117"/>
      <c r="M57" s="117"/>
      <c r="N57" s="117"/>
    </row>
    <row r="58" spans="1:17" s="41" customFormat="1" x14ac:dyDescent="0.2">
      <c r="A58" s="41" t="s">
        <v>93</v>
      </c>
      <c r="B58" s="64"/>
      <c r="C58" s="12"/>
      <c r="D58" s="12"/>
      <c r="E58" s="82">
        <f>(E22+E11+E19+E20)/E6</f>
        <v>0.20242424242424242</v>
      </c>
      <c r="F58" s="82">
        <f>(F22+F11+F19+F20)/F6</f>
        <v>0.20134238567297133</v>
      </c>
      <c r="G58" s="82">
        <f>(G22+G11+G19+G20)/G6</f>
        <v>0.19407096380339781</v>
      </c>
      <c r="H58" s="82">
        <f>(H22+H11+H19+H20)/H6</f>
        <v>0.19315362435458996</v>
      </c>
      <c r="I58" s="117"/>
      <c r="J58" s="277"/>
      <c r="K58" s="117"/>
      <c r="L58" s="117"/>
      <c r="M58" s="117"/>
      <c r="N58" s="117"/>
      <c r="O58" s="40"/>
    </row>
    <row r="59" spans="1:17" s="41" customFormat="1" x14ac:dyDescent="0.2">
      <c r="A59" s="41" t="s">
        <v>94</v>
      </c>
      <c r="B59" s="12"/>
      <c r="C59" s="12"/>
      <c r="D59" s="12"/>
      <c r="E59" s="12">
        <f>E22/E6</f>
        <v>0.16513183785911059</v>
      </c>
      <c r="F59" s="12">
        <f>F22/F6</f>
        <v>0.16424119639349841</v>
      </c>
      <c r="G59" s="12">
        <f>G22/G6</f>
        <v>0.15785947201500872</v>
      </c>
      <c r="H59" s="12">
        <f>H22/H6</f>
        <v>0.15553543887883056</v>
      </c>
      <c r="I59" s="117"/>
      <c r="J59" s="277"/>
      <c r="K59" s="117"/>
      <c r="L59" s="117"/>
      <c r="M59" s="117"/>
      <c r="N59" s="117"/>
    </row>
    <row r="60" spans="1:17" s="41" customFormat="1" x14ac:dyDescent="0.2">
      <c r="A60" s="41" t="s">
        <v>99</v>
      </c>
      <c r="B60" s="12"/>
      <c r="C60" s="12"/>
      <c r="D60" s="12"/>
      <c r="E60" s="12">
        <f>E40/E6</f>
        <v>0.1192443919716647</v>
      </c>
      <c r="F60" s="12">
        <f>F40/F6</f>
        <v>0.12542336184098607</v>
      </c>
      <c r="G60" s="12">
        <f>G40/G6</f>
        <v>0.11642173285091049</v>
      </c>
      <c r="H60" s="12">
        <f>H40/H6</f>
        <v>0.11272044524911151</v>
      </c>
      <c r="I60" s="117"/>
      <c r="J60" s="277"/>
      <c r="K60" s="117"/>
      <c r="L60" s="117"/>
      <c r="M60" s="117"/>
      <c r="N60" s="117"/>
    </row>
    <row r="61" spans="1:17" x14ac:dyDescent="0.2">
      <c r="A61" s="41"/>
      <c r="B61" s="89"/>
      <c r="C61" s="89"/>
      <c r="D61" s="89"/>
      <c r="E61" s="89"/>
      <c r="F61" s="89"/>
      <c r="G61" s="89"/>
      <c r="H61" s="89"/>
      <c r="I61" s="118"/>
      <c r="J61" s="278"/>
      <c r="K61" s="118"/>
      <c r="L61" s="118"/>
      <c r="M61" s="118"/>
      <c r="N61" s="118"/>
      <c r="O61" s="41"/>
    </row>
    <row r="62" spans="1:17" x14ac:dyDescent="0.2">
      <c r="A62" s="49" t="s">
        <v>69</v>
      </c>
      <c r="B62" s="37"/>
      <c r="C62" s="37"/>
      <c r="D62" s="37"/>
      <c r="E62" s="37"/>
      <c r="F62" s="37"/>
      <c r="G62" s="37"/>
      <c r="H62" s="37"/>
      <c r="I62" s="107"/>
      <c r="J62" s="114"/>
      <c r="K62" s="107" t="s">
        <v>333</v>
      </c>
      <c r="L62" s="107"/>
      <c r="M62" s="107"/>
      <c r="N62" s="107"/>
    </row>
    <row r="63" spans="1:17" x14ac:dyDescent="0.2">
      <c r="A63" s="41" t="s">
        <v>84</v>
      </c>
      <c r="B63" s="39"/>
      <c r="C63" s="39"/>
      <c r="D63" s="39"/>
      <c r="E63" s="39">
        <f>E10/E6</f>
        <v>0.42025974025974028</v>
      </c>
      <c r="F63" s="39">
        <f>F10/F6</f>
        <v>0.41989761989452684</v>
      </c>
      <c r="G63" s="39">
        <f>G10/G6</f>
        <v>0.41458584595226394</v>
      </c>
      <c r="H63" s="39">
        <f>H10/H6</f>
        <v>0.40755978976308199</v>
      </c>
      <c r="I63" s="119">
        <f>H63</f>
        <v>0.40755978976308199</v>
      </c>
      <c r="J63" s="279"/>
      <c r="K63" s="269">
        <f>AVERAGE(E63:H63)</f>
        <v>0.41557574896740329</v>
      </c>
      <c r="L63" s="119"/>
      <c r="M63" s="119"/>
      <c r="N63" s="119"/>
    </row>
    <row r="64" spans="1:17" x14ac:dyDescent="0.2">
      <c r="A64" s="41" t="s">
        <v>86</v>
      </c>
      <c r="B64" s="39"/>
      <c r="C64" s="39"/>
      <c r="D64" s="39"/>
      <c r="E64" s="39">
        <f>E18/E6</f>
        <v>0.37731601731601733</v>
      </c>
      <c r="F64" s="39">
        <f>F18/F6</f>
        <v>0.3787599944325018</v>
      </c>
      <c r="G64" s="39">
        <f>G18/G6</f>
        <v>0.39134319024433822</v>
      </c>
      <c r="H64" s="39">
        <f>H18/H6</f>
        <v>0.39928658588232802</v>
      </c>
      <c r="I64" s="119">
        <f>H64</f>
        <v>0.39928658588232802</v>
      </c>
      <c r="J64" s="279"/>
      <c r="K64" s="269">
        <f>AVERAGE(E64:H64)</f>
        <v>0.38667644696879633</v>
      </c>
      <c r="L64" s="119"/>
      <c r="M64" s="119"/>
      <c r="N64" s="119"/>
      <c r="P64" s="67"/>
    </row>
    <row r="65" spans="1:16" x14ac:dyDescent="0.2">
      <c r="A65" s="41"/>
      <c r="B65" s="39"/>
      <c r="C65" s="39"/>
      <c r="D65" s="39"/>
      <c r="E65" s="39"/>
      <c r="F65" s="39"/>
      <c r="G65" s="39"/>
      <c r="H65" s="39"/>
      <c r="I65" s="119"/>
      <c r="J65" s="279"/>
      <c r="K65" s="119"/>
      <c r="L65" s="119"/>
      <c r="M65" s="119"/>
      <c r="N65" s="119"/>
    </row>
    <row r="66" spans="1:16" x14ac:dyDescent="0.2">
      <c r="A66" s="41" t="s">
        <v>87</v>
      </c>
      <c r="B66" s="39"/>
      <c r="C66" s="39"/>
      <c r="D66" s="39"/>
      <c r="E66" s="39">
        <f>E26/E6</f>
        <v>4.7068083431719794E-3</v>
      </c>
      <c r="F66" s="39">
        <f>F26/F6</f>
        <v>5.1654010918482547E-3</v>
      </c>
      <c r="G66" s="39">
        <f>G26/G6</f>
        <v>3.4394961361504444E-3</v>
      </c>
      <c r="H66" s="39">
        <f>H26/H6</f>
        <v>5.6326694830014078E-3</v>
      </c>
      <c r="I66" s="119">
        <f>H66</f>
        <v>5.6326694830014078E-3</v>
      </c>
      <c r="J66" s="279"/>
      <c r="K66" s="269">
        <f>AVERAGE(E66:H66)</f>
        <v>4.7360937635430225E-3</v>
      </c>
      <c r="L66" s="119"/>
      <c r="M66" s="119"/>
      <c r="N66" s="119"/>
      <c r="O66" s="5" t="s">
        <v>580</v>
      </c>
      <c r="P66" s="307">
        <f>(O68-P68)/4</f>
        <v>1.460151860607746E-2</v>
      </c>
    </row>
    <row r="67" spans="1:16" x14ac:dyDescent="0.2">
      <c r="A67" s="41"/>
      <c r="B67" s="39"/>
      <c r="C67" s="39"/>
      <c r="D67" s="39"/>
      <c r="E67" s="39"/>
      <c r="F67" s="39"/>
      <c r="G67" s="39"/>
      <c r="H67" s="39"/>
      <c r="I67" s="119"/>
      <c r="J67" s="279"/>
      <c r="K67" s="119"/>
      <c r="L67" s="119"/>
      <c r="M67" s="119"/>
      <c r="N67" s="119"/>
    </row>
    <row r="68" spans="1:16" s="38" customFormat="1" x14ac:dyDescent="0.2">
      <c r="A68" s="38" t="s">
        <v>190</v>
      </c>
      <c r="B68" s="86"/>
      <c r="C68" s="86"/>
      <c r="D68" s="86"/>
      <c r="E68" s="87">
        <f>E38/E34</f>
        <v>0.23345476624165148</v>
      </c>
      <c r="F68" s="87">
        <f>F38/F34</f>
        <v>0.18802563075690829</v>
      </c>
      <c r="G68" s="87">
        <f>G38/G34</f>
        <v>0.21004243281471005</v>
      </c>
      <c r="H68" s="87">
        <f>H38/H34</f>
        <v>0.21485287248949089</v>
      </c>
      <c r="I68" s="119">
        <f>H68</f>
        <v>0.21485287248949089</v>
      </c>
      <c r="J68" s="120"/>
      <c r="K68" s="269">
        <f>AVERAGE(E68:H68)+P66</f>
        <v>0.22619544418176762</v>
      </c>
      <c r="L68" s="120">
        <f>K68+$P$66</f>
        <v>0.24079696278784507</v>
      </c>
      <c r="M68" s="120">
        <f t="shared" ref="M68:N68" si="5">L68+$P$66</f>
        <v>0.25539848139392252</v>
      </c>
      <c r="N68" s="120">
        <f t="shared" si="5"/>
        <v>0.26999999999999996</v>
      </c>
      <c r="O68" s="308">
        <v>0.27</v>
      </c>
      <c r="P68" s="309">
        <v>0.21159392557569018</v>
      </c>
    </row>
    <row r="69" spans="1:16" s="38" customFormat="1" x14ac:dyDescent="0.2">
      <c r="A69" s="85"/>
      <c r="B69" s="86"/>
      <c r="C69" s="86"/>
      <c r="D69" s="86"/>
      <c r="E69" s="87"/>
      <c r="F69" s="87"/>
      <c r="G69" s="87"/>
      <c r="H69" s="87"/>
      <c r="I69" s="120"/>
      <c r="J69" s="120"/>
      <c r="K69" s="120"/>
      <c r="L69" s="120"/>
      <c r="M69" s="120"/>
      <c r="N69" s="120"/>
    </row>
    <row r="70" spans="1:16" x14ac:dyDescent="0.2">
      <c r="A70" s="88" t="s">
        <v>97</v>
      </c>
      <c r="B70" s="89"/>
      <c r="C70" s="89"/>
      <c r="D70" s="89"/>
      <c r="E70" s="39">
        <f>E44/E40</f>
        <v>6.7326732673267326E-3</v>
      </c>
      <c r="F70" s="39">
        <f>F44/F40</f>
        <v>5.5487053020961772E-3</v>
      </c>
      <c r="G70" s="39">
        <f>G44/G40</f>
        <v>5.6273180713646244E-3</v>
      </c>
      <c r="H70" s="39">
        <f>H44/H40</f>
        <v>7.4360499702558003E-3</v>
      </c>
      <c r="I70" s="119">
        <f>H70</f>
        <v>7.4360499702558003E-3</v>
      </c>
      <c r="J70" s="279"/>
      <c r="K70" s="269">
        <f>AVERAGE(E70:H70)</f>
        <v>6.3361866527608338E-3</v>
      </c>
      <c r="L70" s="119"/>
      <c r="M70" s="119"/>
      <c r="N70" s="119"/>
    </row>
    <row r="71" spans="1:16" x14ac:dyDescent="0.2">
      <c r="B71" s="37"/>
      <c r="C71" s="37"/>
      <c r="D71" s="37"/>
      <c r="E71" s="27"/>
      <c r="F71" s="27"/>
      <c r="G71" s="27"/>
      <c r="H71" s="37"/>
      <c r="I71" s="107"/>
      <c r="J71" s="114"/>
      <c r="K71" s="107"/>
      <c r="L71" s="107"/>
      <c r="M71" s="107"/>
      <c r="N71" s="107"/>
    </row>
    <row r="72" spans="1:16" x14ac:dyDescent="0.2">
      <c r="A72" s="5" t="s">
        <v>162</v>
      </c>
      <c r="B72" s="37"/>
      <c r="C72" s="37"/>
      <c r="D72" s="37"/>
      <c r="E72" s="37">
        <v>292</v>
      </c>
      <c r="F72" s="37">
        <v>256</v>
      </c>
      <c r="G72" s="37">
        <v>237</v>
      </c>
      <c r="H72" s="37">
        <v>101</v>
      </c>
      <c r="I72" s="108">
        <f>I73*I17</f>
        <v>132.1863493872263</v>
      </c>
      <c r="J72" s="287">
        <f>I72+H72</f>
        <v>233.1863493872263</v>
      </c>
      <c r="K72" s="138">
        <f t="shared" ref="K72:N72" si="6">$K$73*K17</f>
        <v>277.90909240191348</v>
      </c>
      <c r="L72" s="138">
        <f t="shared" si="6"/>
        <v>289.2062431794688</v>
      </c>
      <c r="M72" s="138">
        <f t="shared" si="6"/>
        <v>301.13315656686092</v>
      </c>
      <c r="N72" s="138">
        <f t="shared" si="6"/>
        <v>313.72944603715013</v>
      </c>
    </row>
    <row r="73" spans="1:16" x14ac:dyDescent="0.2">
      <c r="A73" s="41" t="s">
        <v>363</v>
      </c>
      <c r="B73" s="37"/>
      <c r="C73" s="37"/>
      <c r="D73" s="37"/>
      <c r="E73" s="27">
        <f>E72/E17</f>
        <v>1.2050678882423341E-2</v>
      </c>
      <c r="F73" s="27">
        <f t="shared" ref="F73:H73" si="7">F72/F17</f>
        <v>1.0345106279802797E-2</v>
      </c>
      <c r="G73" s="27">
        <f t="shared" si="7"/>
        <v>8.9369885742297973E-3</v>
      </c>
      <c r="H73" s="27">
        <f t="shared" si="7"/>
        <v>8.4040605758029623E-3</v>
      </c>
      <c r="I73" s="119">
        <f>H73</f>
        <v>8.4040605758029623E-3</v>
      </c>
      <c r="J73" s="279">
        <f>J72/J17</f>
        <v>8.4040605758029623E-3</v>
      </c>
      <c r="K73" s="269">
        <f>AVERAGE(E73:G73,J73)</f>
        <v>9.9342085780647245E-3</v>
      </c>
      <c r="L73" s="129"/>
      <c r="M73" s="129"/>
      <c r="N73" s="129"/>
    </row>
    <row r="74" spans="1:16" x14ac:dyDescent="0.2">
      <c r="A74" s="180" t="s">
        <v>302</v>
      </c>
      <c r="B74" s="37"/>
      <c r="C74" s="37"/>
      <c r="D74" s="37"/>
      <c r="E74" s="395" t="s">
        <v>312</v>
      </c>
      <c r="F74" s="396"/>
      <c r="G74" s="397"/>
      <c r="H74" s="203" t="s">
        <v>311</v>
      </c>
      <c r="I74" s="107"/>
      <c r="J74" s="114"/>
      <c r="K74" s="107"/>
      <c r="L74" s="107"/>
      <c r="M74" s="107"/>
      <c r="N74" s="107"/>
    </row>
    <row r="75" spans="1:16" x14ac:dyDescent="0.2">
      <c r="B75" s="37"/>
      <c r="C75" s="37"/>
      <c r="D75" s="37"/>
      <c r="E75" s="37"/>
      <c r="F75" s="37"/>
      <c r="G75" s="37"/>
      <c r="H75" s="37"/>
      <c r="I75" s="107"/>
      <c r="J75" s="114"/>
      <c r="K75" s="107"/>
      <c r="L75" s="107"/>
      <c r="M75" s="107"/>
      <c r="N75" s="107"/>
    </row>
    <row r="76" spans="1:16" x14ac:dyDescent="0.2">
      <c r="A76" s="5" t="s">
        <v>194</v>
      </c>
      <c r="E76" s="201">
        <v>3.1675</v>
      </c>
      <c r="F76" s="201">
        <v>3.5874999999999999</v>
      </c>
      <c r="G76" s="201">
        <v>3.7925</v>
      </c>
      <c r="H76" s="201">
        <v>1.9775</v>
      </c>
      <c r="I76" s="154">
        <f>J76-H76</f>
        <v>1.6487479556865843</v>
      </c>
      <c r="J76" s="154">
        <f t="shared" ref="J76:N76" si="8">$J$77*J50</f>
        <v>3.6262479556865843</v>
      </c>
      <c r="K76" s="154">
        <f t="shared" si="8"/>
        <v>3.7849862980716091</v>
      </c>
      <c r="L76" s="154">
        <f t="shared" si="8"/>
        <v>3.9156616053127729</v>
      </c>
      <c r="M76" s="154">
        <f t="shared" si="8"/>
        <v>4.0529304367153287</v>
      </c>
      <c r="N76" s="154">
        <f t="shared" si="8"/>
        <v>4.1708684844978032</v>
      </c>
    </row>
    <row r="77" spans="1:16" x14ac:dyDescent="0.2">
      <c r="A77" s="5" t="s">
        <v>197</v>
      </c>
      <c r="E77" s="23">
        <f>E76/E50</f>
        <v>0.60537812333864971</v>
      </c>
      <c r="F77" s="23">
        <f t="shared" ref="F77:G77" si="9">F76/F50</f>
        <v>0.63387321760694348</v>
      </c>
      <c r="G77" s="23">
        <f t="shared" si="9"/>
        <v>0.6863083601286174</v>
      </c>
      <c r="H77" s="291" t="s">
        <v>400</v>
      </c>
      <c r="I77" s="107" t="s">
        <v>66</v>
      </c>
      <c r="J77" s="280">
        <f>AVERAGE(E77:G77)</f>
        <v>0.64185323369140346</v>
      </c>
      <c r="K77" s="129" t="s">
        <v>66</v>
      </c>
      <c r="L77" s="129"/>
      <c r="M77" s="129"/>
      <c r="N77" s="129"/>
    </row>
    <row r="78" spans="1:16" x14ac:dyDescent="0.2">
      <c r="A78" s="180" t="s">
        <v>302</v>
      </c>
      <c r="B78" s="37"/>
      <c r="C78" s="37"/>
      <c r="D78" s="37"/>
      <c r="E78" s="395" t="s">
        <v>314</v>
      </c>
      <c r="F78" s="396"/>
      <c r="G78" s="397"/>
      <c r="H78" s="203" t="s">
        <v>313</v>
      </c>
      <c r="I78" s="107"/>
      <c r="J78" s="139"/>
      <c r="K78" s="107"/>
      <c r="L78" s="107"/>
      <c r="M78" s="107"/>
      <c r="N78" s="107"/>
    </row>
    <row r="79" spans="1:16" x14ac:dyDescent="0.2">
      <c r="I79" s="107"/>
      <c r="J79" s="114"/>
      <c r="K79" s="107"/>
      <c r="L79" s="107"/>
      <c r="M79" s="107"/>
      <c r="N79" s="107"/>
    </row>
    <row r="80" spans="1:16" x14ac:dyDescent="0.2">
      <c r="I80" s="107"/>
      <c r="J80" s="114"/>
      <c r="K80" s="107"/>
      <c r="L80" s="107"/>
      <c r="M80" s="107"/>
      <c r="N80" s="107"/>
    </row>
    <row r="81" spans="9:14" x14ac:dyDescent="0.2">
      <c r="I81" s="107"/>
      <c r="J81" s="114"/>
      <c r="K81" s="107"/>
      <c r="L81" s="107"/>
      <c r="M81" s="107"/>
      <c r="N81" s="107"/>
    </row>
    <row r="82" spans="9:14" x14ac:dyDescent="0.2">
      <c r="I82" s="107"/>
      <c r="J82" s="114"/>
      <c r="K82" s="107"/>
      <c r="L82" s="107"/>
      <c r="M82" s="107"/>
      <c r="N82" s="107"/>
    </row>
    <row r="83" spans="9:14" x14ac:dyDescent="0.2">
      <c r="I83" s="107"/>
      <c r="J83" s="114"/>
      <c r="K83" s="107"/>
      <c r="L83" s="107"/>
      <c r="M83" s="107"/>
      <c r="N83" s="107"/>
    </row>
    <row r="84" spans="9:14" x14ac:dyDescent="0.2">
      <c r="I84" s="107"/>
      <c r="J84" s="114"/>
      <c r="K84" s="107"/>
      <c r="L84" s="107"/>
      <c r="M84" s="107"/>
      <c r="N84" s="107"/>
    </row>
    <row r="85" spans="9:14" x14ac:dyDescent="0.2">
      <c r="I85" s="107"/>
      <c r="J85" s="114"/>
      <c r="K85" s="107"/>
      <c r="L85" s="107"/>
      <c r="M85" s="107"/>
      <c r="N85" s="107"/>
    </row>
    <row r="86" spans="9:14" x14ac:dyDescent="0.2">
      <c r="I86" s="107"/>
      <c r="J86" s="114"/>
      <c r="K86" s="107"/>
      <c r="L86" s="107"/>
      <c r="M86" s="107"/>
      <c r="N86" s="107"/>
    </row>
    <row r="87" spans="9:14" x14ac:dyDescent="0.2">
      <c r="I87" s="121"/>
      <c r="J87" s="128"/>
      <c r="K87" s="121"/>
      <c r="L87" s="121"/>
      <c r="M87" s="121"/>
      <c r="N87" s="121"/>
    </row>
    <row r="88" spans="9:14" x14ac:dyDescent="0.2">
      <c r="I88" s="107"/>
      <c r="J88" s="114"/>
      <c r="K88" s="107"/>
      <c r="L88" s="107"/>
      <c r="M88" s="107"/>
      <c r="N88" s="107"/>
    </row>
    <row r="89" spans="9:14" x14ac:dyDescent="0.2">
      <c r="I89" s="107"/>
      <c r="J89" s="114"/>
      <c r="K89" s="107"/>
      <c r="L89" s="107"/>
      <c r="M89" s="107"/>
      <c r="N89" s="107"/>
    </row>
    <row r="90" spans="9:14" x14ac:dyDescent="0.2">
      <c r="I90" s="107"/>
      <c r="J90" s="114"/>
      <c r="K90" s="107"/>
      <c r="L90" s="107"/>
      <c r="M90" s="107"/>
      <c r="N90" s="107"/>
    </row>
    <row r="91" spans="9:14" x14ac:dyDescent="0.2">
      <c r="I91" s="107"/>
      <c r="J91" s="114"/>
      <c r="K91" s="107"/>
      <c r="L91" s="107"/>
      <c r="M91" s="107"/>
      <c r="N91" s="107"/>
    </row>
    <row r="92" spans="9:14" x14ac:dyDescent="0.2">
      <c r="I92" s="107"/>
      <c r="J92" s="114"/>
      <c r="K92" s="107"/>
      <c r="L92" s="107"/>
      <c r="M92" s="107"/>
      <c r="N92" s="107"/>
    </row>
    <row r="93" spans="9:14" x14ac:dyDescent="0.2">
      <c r="I93" s="107"/>
      <c r="J93" s="114"/>
      <c r="K93" s="107"/>
      <c r="L93" s="107"/>
      <c r="M93" s="107"/>
      <c r="N93" s="107"/>
    </row>
    <row r="94" spans="9:14" x14ac:dyDescent="0.2">
      <c r="I94" s="107"/>
      <c r="J94" s="114"/>
      <c r="K94" s="107"/>
      <c r="L94" s="107"/>
      <c r="M94" s="107"/>
      <c r="N94" s="107"/>
    </row>
    <row r="95" spans="9:14" x14ac:dyDescent="0.2">
      <c r="I95" s="107"/>
      <c r="J95" s="114"/>
      <c r="K95" s="107"/>
      <c r="L95" s="107"/>
      <c r="M95" s="107"/>
      <c r="N95" s="107"/>
    </row>
    <row r="96" spans="9:14" x14ac:dyDescent="0.2">
      <c r="I96" s="107"/>
      <c r="J96" s="114"/>
      <c r="K96" s="107"/>
      <c r="L96" s="107"/>
      <c r="M96" s="107"/>
      <c r="N96" s="107"/>
    </row>
    <row r="97" spans="9:26" x14ac:dyDescent="0.2">
      <c r="I97" s="107"/>
      <c r="J97" s="114"/>
      <c r="K97" s="107"/>
      <c r="L97" s="107"/>
      <c r="M97" s="107"/>
      <c r="N97" s="107"/>
    </row>
    <row r="98" spans="9:26" x14ac:dyDescent="0.2">
      <c r="I98" s="107"/>
      <c r="J98" s="114"/>
      <c r="K98" s="107"/>
      <c r="L98" s="107"/>
      <c r="M98" s="107"/>
      <c r="N98" s="107"/>
    </row>
    <row r="99" spans="9:26" x14ac:dyDescent="0.2">
      <c r="I99" s="107"/>
      <c r="J99" s="114"/>
      <c r="K99" s="107"/>
      <c r="L99" s="107"/>
      <c r="M99" s="107"/>
      <c r="N99" s="107"/>
    </row>
    <row r="100" spans="9:26" x14ac:dyDescent="0.2">
      <c r="I100" s="107"/>
      <c r="J100" s="114"/>
      <c r="K100" s="107"/>
      <c r="L100" s="107"/>
      <c r="M100" s="107"/>
      <c r="N100" s="107"/>
    </row>
    <row r="101" spans="9:26" x14ac:dyDescent="0.2">
      <c r="I101" s="107"/>
      <c r="J101" s="114"/>
      <c r="K101" s="107"/>
      <c r="L101" s="107"/>
      <c r="M101" s="107"/>
      <c r="N101" s="107"/>
    </row>
    <row r="102" spans="9:26" x14ac:dyDescent="0.2">
      <c r="I102" s="107"/>
      <c r="J102" s="114"/>
      <c r="K102" s="107"/>
      <c r="L102" s="107"/>
      <c r="M102" s="107"/>
      <c r="N102" s="107"/>
    </row>
    <row r="103" spans="9:26" x14ac:dyDescent="0.2">
      <c r="I103" s="107"/>
      <c r="J103" s="114"/>
      <c r="K103" s="107"/>
      <c r="L103" s="107"/>
      <c r="M103" s="107"/>
      <c r="N103" s="107"/>
    </row>
    <row r="104" spans="9:26" x14ac:dyDescent="0.2">
      <c r="I104" s="107"/>
      <c r="J104" s="114"/>
      <c r="K104" s="107"/>
      <c r="L104" s="107"/>
      <c r="M104" s="107"/>
      <c r="N104" s="107"/>
    </row>
    <row r="105" spans="9:26" x14ac:dyDescent="0.2">
      <c r="I105" s="107"/>
      <c r="J105" s="114"/>
      <c r="K105" s="107"/>
      <c r="L105" s="107"/>
      <c r="M105" s="107"/>
      <c r="N105" s="107"/>
      <c r="Z105" s="24"/>
    </row>
    <row r="106" spans="9:26" x14ac:dyDescent="0.2">
      <c r="I106" s="107"/>
      <c r="J106" s="114"/>
      <c r="K106" s="107"/>
      <c r="L106" s="107"/>
      <c r="M106" s="107"/>
      <c r="N106" s="107"/>
    </row>
    <row r="107" spans="9:26" x14ac:dyDescent="0.2">
      <c r="I107" s="107"/>
      <c r="J107" s="114"/>
      <c r="K107" s="107"/>
      <c r="L107" s="107"/>
      <c r="M107" s="107"/>
      <c r="N107" s="107"/>
    </row>
    <row r="108" spans="9:26" x14ac:dyDescent="0.2">
      <c r="I108" s="107"/>
      <c r="J108" s="114"/>
      <c r="K108" s="107"/>
      <c r="L108" s="107"/>
      <c r="M108" s="107"/>
      <c r="N108" s="107"/>
    </row>
    <row r="109" spans="9:26" x14ac:dyDescent="0.2">
      <c r="I109" s="107"/>
      <c r="J109" s="114"/>
      <c r="K109" s="107"/>
      <c r="L109" s="107"/>
      <c r="M109" s="107"/>
      <c r="N109" s="107"/>
    </row>
    <row r="110" spans="9:26" x14ac:dyDescent="0.2">
      <c r="I110" s="107"/>
      <c r="J110" s="114"/>
      <c r="K110" s="107"/>
      <c r="L110" s="107"/>
      <c r="M110" s="107"/>
      <c r="N110" s="107"/>
    </row>
    <row r="111" spans="9:26" x14ac:dyDescent="0.2">
      <c r="I111" s="107"/>
      <c r="J111" s="114"/>
      <c r="K111" s="107"/>
      <c r="L111" s="107"/>
      <c r="M111" s="107"/>
      <c r="N111" s="107"/>
    </row>
    <row r="112" spans="9:26" x14ac:dyDescent="0.2">
      <c r="I112" s="107"/>
      <c r="J112" s="114"/>
      <c r="K112" s="107"/>
      <c r="L112" s="107"/>
      <c r="M112" s="107"/>
      <c r="N112" s="107"/>
    </row>
    <row r="113" spans="9:14" x14ac:dyDescent="0.2">
      <c r="I113" s="107"/>
      <c r="J113" s="114"/>
      <c r="K113" s="107"/>
      <c r="L113" s="107"/>
      <c r="M113" s="107"/>
      <c r="N113" s="107"/>
    </row>
    <row r="114" spans="9:14" x14ac:dyDescent="0.2">
      <c r="I114" s="107"/>
      <c r="J114" s="114"/>
      <c r="K114" s="107"/>
      <c r="L114" s="107"/>
      <c r="M114" s="107"/>
      <c r="N114" s="107"/>
    </row>
    <row r="115" spans="9:14" x14ac:dyDescent="0.2">
      <c r="I115" s="107"/>
      <c r="J115" s="114"/>
      <c r="K115" s="107"/>
      <c r="L115" s="107"/>
      <c r="M115" s="107"/>
      <c r="N115" s="107"/>
    </row>
    <row r="116" spans="9:14" x14ac:dyDescent="0.2">
      <c r="I116" s="107"/>
      <c r="J116" s="114"/>
      <c r="K116" s="107"/>
      <c r="L116" s="107"/>
      <c r="M116" s="107"/>
      <c r="N116" s="107"/>
    </row>
    <row r="117" spans="9:14" x14ac:dyDescent="0.2">
      <c r="I117" s="107"/>
      <c r="J117" s="114"/>
      <c r="K117" s="107"/>
      <c r="L117" s="107"/>
      <c r="M117" s="107"/>
      <c r="N117" s="107"/>
    </row>
    <row r="118" spans="9:14" x14ac:dyDescent="0.2">
      <c r="I118" s="107"/>
      <c r="J118" s="114"/>
      <c r="K118" s="107"/>
      <c r="L118" s="107"/>
      <c r="M118" s="107"/>
      <c r="N118" s="107"/>
    </row>
    <row r="119" spans="9:14" x14ac:dyDescent="0.2">
      <c r="I119" s="107"/>
      <c r="J119" s="114"/>
      <c r="K119" s="107"/>
      <c r="L119" s="107"/>
      <c r="M119" s="107"/>
      <c r="N119" s="107"/>
    </row>
    <row r="120" spans="9:14" x14ac:dyDescent="0.2">
      <c r="I120" s="107"/>
      <c r="J120" s="114"/>
      <c r="K120" s="107"/>
      <c r="L120" s="107"/>
      <c r="M120" s="107"/>
      <c r="N120" s="107"/>
    </row>
    <row r="121" spans="9:14" x14ac:dyDescent="0.2">
      <c r="I121" s="107"/>
      <c r="J121" s="114"/>
      <c r="K121" s="107"/>
      <c r="L121" s="107"/>
      <c r="M121" s="107"/>
      <c r="N121" s="107"/>
    </row>
    <row r="122" spans="9:14" x14ac:dyDescent="0.2">
      <c r="I122" s="107"/>
      <c r="J122" s="114"/>
      <c r="K122" s="107"/>
      <c r="L122" s="107"/>
      <c r="M122" s="107"/>
      <c r="N122" s="107"/>
    </row>
    <row r="123" spans="9:14" x14ac:dyDescent="0.2">
      <c r="I123" s="107"/>
      <c r="J123" s="114"/>
      <c r="K123" s="107"/>
      <c r="L123" s="107"/>
      <c r="M123" s="107"/>
      <c r="N123" s="107"/>
    </row>
    <row r="124" spans="9:14" x14ac:dyDescent="0.2">
      <c r="I124" s="107"/>
      <c r="J124" s="114"/>
      <c r="K124" s="107"/>
      <c r="L124" s="107"/>
      <c r="M124" s="107"/>
      <c r="N124" s="107"/>
    </row>
    <row r="125" spans="9:14" x14ac:dyDescent="0.2">
      <c r="I125" s="107"/>
      <c r="J125" s="114"/>
      <c r="K125" s="107"/>
      <c r="L125" s="107"/>
      <c r="M125" s="107"/>
      <c r="N125" s="107"/>
    </row>
    <row r="126" spans="9:14" x14ac:dyDescent="0.2">
      <c r="I126" s="107"/>
      <c r="J126" s="114"/>
      <c r="K126" s="107"/>
      <c r="L126" s="107"/>
      <c r="M126" s="107"/>
      <c r="N126" s="107"/>
    </row>
    <row r="127" spans="9:14" x14ac:dyDescent="0.2">
      <c r="I127" s="107"/>
      <c r="J127" s="114"/>
      <c r="K127" s="107"/>
      <c r="L127" s="107"/>
      <c r="M127" s="107"/>
      <c r="N127" s="107"/>
    </row>
    <row r="128" spans="9:14" x14ac:dyDescent="0.2">
      <c r="I128" s="107"/>
      <c r="J128" s="114"/>
      <c r="K128" s="107"/>
      <c r="L128" s="107"/>
      <c r="M128" s="107"/>
      <c r="N128" s="107"/>
    </row>
    <row r="129" spans="9:14" x14ac:dyDescent="0.2">
      <c r="I129" s="107"/>
      <c r="J129" s="114"/>
      <c r="K129" s="107"/>
      <c r="L129" s="107"/>
      <c r="M129" s="107"/>
      <c r="N129" s="107"/>
    </row>
    <row r="130" spans="9:14" x14ac:dyDescent="0.2">
      <c r="I130" s="107"/>
      <c r="J130" s="114"/>
      <c r="K130" s="107"/>
      <c r="L130" s="107"/>
      <c r="M130" s="107"/>
      <c r="N130" s="107"/>
    </row>
    <row r="131" spans="9:14" x14ac:dyDescent="0.2">
      <c r="I131" s="107"/>
      <c r="J131" s="114"/>
      <c r="K131" s="107"/>
      <c r="L131" s="107"/>
      <c r="M131" s="107"/>
      <c r="N131" s="107"/>
    </row>
    <row r="132" spans="9:14" x14ac:dyDescent="0.2">
      <c r="I132" s="107"/>
      <c r="J132" s="114"/>
      <c r="K132" s="107"/>
      <c r="L132" s="107"/>
      <c r="M132" s="107"/>
      <c r="N132" s="107"/>
    </row>
    <row r="133" spans="9:14" x14ac:dyDescent="0.2">
      <c r="I133" s="107"/>
      <c r="J133" s="114"/>
      <c r="K133" s="107"/>
      <c r="L133" s="107"/>
      <c r="M133" s="107"/>
      <c r="N133" s="107"/>
    </row>
    <row r="134" spans="9:14" x14ac:dyDescent="0.2">
      <c r="I134" s="107"/>
      <c r="J134" s="114"/>
      <c r="K134" s="107"/>
      <c r="L134" s="107"/>
      <c r="M134" s="107"/>
      <c r="N134" s="107"/>
    </row>
    <row r="135" spans="9:14" x14ac:dyDescent="0.2">
      <c r="I135" s="107"/>
      <c r="J135" s="114"/>
      <c r="K135" s="107"/>
      <c r="L135" s="107"/>
      <c r="M135" s="107"/>
      <c r="N135" s="107"/>
    </row>
    <row r="136" spans="9:14" x14ac:dyDescent="0.2">
      <c r="I136" s="107"/>
      <c r="J136" s="114"/>
      <c r="K136" s="107"/>
      <c r="L136" s="107"/>
      <c r="M136" s="107"/>
      <c r="N136" s="107"/>
    </row>
    <row r="137" spans="9:14" x14ac:dyDescent="0.2">
      <c r="I137" s="107"/>
      <c r="J137" s="114"/>
      <c r="K137" s="107"/>
      <c r="L137" s="107"/>
      <c r="M137" s="107"/>
      <c r="N137" s="107"/>
    </row>
    <row r="138" spans="9:14" x14ac:dyDescent="0.2">
      <c r="I138" s="107"/>
      <c r="J138" s="114"/>
      <c r="K138" s="107"/>
      <c r="L138" s="107"/>
      <c r="M138" s="107"/>
      <c r="N138" s="107"/>
    </row>
    <row r="139" spans="9:14" x14ac:dyDescent="0.2">
      <c r="I139" s="107"/>
      <c r="J139" s="114"/>
      <c r="K139" s="107"/>
      <c r="L139" s="107"/>
      <c r="M139" s="107"/>
      <c r="N139" s="107"/>
    </row>
    <row r="140" spans="9:14" x14ac:dyDescent="0.2">
      <c r="I140" s="107"/>
      <c r="J140" s="114"/>
      <c r="K140" s="107"/>
      <c r="L140" s="107"/>
      <c r="M140" s="107"/>
      <c r="N140" s="107"/>
    </row>
    <row r="141" spans="9:14" x14ac:dyDescent="0.2">
      <c r="I141" s="107"/>
      <c r="J141" s="114"/>
      <c r="K141" s="107"/>
      <c r="L141" s="107"/>
      <c r="M141" s="107"/>
      <c r="N141" s="107"/>
    </row>
    <row r="142" spans="9:14" x14ac:dyDescent="0.2">
      <c r="I142" s="107"/>
      <c r="J142" s="114"/>
      <c r="K142" s="107"/>
      <c r="L142" s="107"/>
      <c r="M142" s="107"/>
      <c r="N142" s="107"/>
    </row>
    <row r="143" spans="9:14" x14ac:dyDescent="0.2">
      <c r="I143" s="107"/>
      <c r="J143" s="114"/>
      <c r="K143" s="107"/>
      <c r="L143" s="107"/>
      <c r="M143" s="107"/>
      <c r="N143" s="107"/>
    </row>
    <row r="144" spans="9:14" x14ac:dyDescent="0.2">
      <c r="I144" s="107"/>
      <c r="J144" s="114"/>
      <c r="K144" s="107"/>
      <c r="L144" s="107"/>
      <c r="M144" s="107"/>
      <c r="N144" s="107"/>
    </row>
    <row r="145" spans="9:14" x14ac:dyDescent="0.2">
      <c r="I145" s="107"/>
      <c r="J145" s="114"/>
      <c r="K145" s="107"/>
      <c r="L145" s="107"/>
      <c r="M145" s="107"/>
      <c r="N145" s="107"/>
    </row>
    <row r="146" spans="9:14" x14ac:dyDescent="0.2">
      <c r="I146" s="107"/>
      <c r="J146" s="114"/>
      <c r="K146" s="107"/>
      <c r="L146" s="107"/>
      <c r="M146" s="107"/>
      <c r="N146" s="107"/>
    </row>
    <row r="147" spans="9:14" x14ac:dyDescent="0.2">
      <c r="I147" s="107"/>
      <c r="J147" s="114"/>
      <c r="K147" s="107"/>
      <c r="L147" s="107"/>
      <c r="M147" s="107"/>
      <c r="N147" s="107"/>
    </row>
    <row r="148" spans="9:14" x14ac:dyDescent="0.2">
      <c r="I148" s="107"/>
      <c r="J148" s="114"/>
      <c r="K148" s="107"/>
      <c r="L148" s="107"/>
      <c r="M148" s="107"/>
      <c r="N148" s="107"/>
    </row>
    <row r="149" spans="9:14" x14ac:dyDescent="0.2">
      <c r="I149" s="107"/>
      <c r="J149" s="114"/>
      <c r="K149" s="107"/>
      <c r="L149" s="107"/>
      <c r="M149" s="107"/>
      <c r="N149" s="107"/>
    </row>
    <row r="150" spans="9:14" x14ac:dyDescent="0.2">
      <c r="I150" s="107"/>
      <c r="J150" s="114"/>
      <c r="K150" s="107"/>
      <c r="L150" s="107"/>
      <c r="M150" s="107"/>
      <c r="N150" s="107"/>
    </row>
    <row r="151" spans="9:14" x14ac:dyDescent="0.2">
      <c r="I151" s="107"/>
      <c r="J151" s="114"/>
      <c r="K151" s="107"/>
      <c r="L151" s="107"/>
      <c r="M151" s="107"/>
      <c r="N151" s="107"/>
    </row>
    <row r="152" spans="9:14" x14ac:dyDescent="0.2">
      <c r="I152" s="107"/>
      <c r="J152" s="114"/>
      <c r="K152" s="107"/>
      <c r="L152" s="107"/>
      <c r="M152" s="107"/>
      <c r="N152" s="107"/>
    </row>
    <row r="153" spans="9:14" x14ac:dyDescent="0.2">
      <c r="I153" s="107"/>
      <c r="J153" s="114"/>
      <c r="K153" s="107"/>
      <c r="L153" s="107"/>
      <c r="M153" s="107"/>
      <c r="N153" s="107"/>
    </row>
    <row r="154" spans="9:14" x14ac:dyDescent="0.2">
      <c r="I154" s="107"/>
      <c r="J154" s="114"/>
      <c r="K154" s="107"/>
      <c r="L154" s="107"/>
      <c r="M154" s="107"/>
      <c r="N154" s="107"/>
    </row>
    <row r="155" spans="9:14" x14ac:dyDescent="0.2">
      <c r="I155" s="107"/>
      <c r="J155" s="114"/>
      <c r="K155" s="107"/>
      <c r="L155" s="107"/>
      <c r="M155" s="107"/>
      <c r="N155" s="107"/>
    </row>
    <row r="156" spans="9:14" x14ac:dyDescent="0.2">
      <c r="I156" s="107"/>
      <c r="J156" s="114"/>
      <c r="K156" s="107"/>
      <c r="L156" s="107"/>
      <c r="M156" s="107"/>
      <c r="N156" s="107"/>
    </row>
    <row r="157" spans="9:14" x14ac:dyDescent="0.2">
      <c r="I157" s="107"/>
      <c r="J157" s="114"/>
      <c r="K157" s="107"/>
      <c r="L157" s="107"/>
      <c r="M157" s="107"/>
      <c r="N157" s="107"/>
    </row>
    <row r="158" spans="9:14" x14ac:dyDescent="0.2">
      <c r="I158" s="107"/>
      <c r="J158" s="114"/>
      <c r="K158" s="107"/>
      <c r="L158" s="107"/>
      <c r="M158" s="107"/>
      <c r="N158" s="107"/>
    </row>
    <row r="159" spans="9:14" x14ac:dyDescent="0.2">
      <c r="I159" s="107"/>
      <c r="J159" s="114"/>
      <c r="K159" s="107"/>
      <c r="L159" s="107"/>
      <c r="M159" s="107"/>
      <c r="N159" s="107"/>
    </row>
    <row r="160" spans="9:14" x14ac:dyDescent="0.2">
      <c r="I160" s="107"/>
      <c r="J160" s="114"/>
      <c r="K160" s="107"/>
      <c r="L160" s="107"/>
      <c r="M160" s="107"/>
      <c r="N160" s="107"/>
    </row>
    <row r="161" spans="9:14" x14ac:dyDescent="0.2">
      <c r="I161" s="107"/>
      <c r="J161" s="114"/>
      <c r="K161" s="107"/>
      <c r="L161" s="107"/>
      <c r="M161" s="107"/>
      <c r="N161" s="107"/>
    </row>
    <row r="162" spans="9:14" x14ac:dyDescent="0.2">
      <c r="I162" s="107"/>
      <c r="J162" s="114"/>
      <c r="K162" s="107"/>
      <c r="L162" s="107"/>
      <c r="M162" s="107"/>
      <c r="N162" s="107"/>
    </row>
    <row r="163" spans="9:14" x14ac:dyDescent="0.2">
      <c r="I163" s="107"/>
      <c r="J163" s="114"/>
      <c r="K163" s="107"/>
      <c r="L163" s="107"/>
      <c r="M163" s="107"/>
      <c r="N163" s="107"/>
    </row>
    <row r="164" spans="9:14" x14ac:dyDescent="0.2">
      <c r="I164" s="107"/>
      <c r="J164" s="114"/>
      <c r="K164" s="107"/>
      <c r="L164" s="107"/>
      <c r="M164" s="107"/>
      <c r="N164" s="107"/>
    </row>
    <row r="165" spans="9:14" x14ac:dyDescent="0.2">
      <c r="I165" s="107"/>
      <c r="J165" s="114"/>
      <c r="K165" s="107"/>
      <c r="L165" s="107"/>
      <c r="M165" s="107"/>
      <c r="N165" s="107"/>
    </row>
    <row r="166" spans="9:14" x14ac:dyDescent="0.2">
      <c r="I166" s="107"/>
      <c r="J166" s="114"/>
      <c r="K166" s="107"/>
      <c r="L166" s="107"/>
      <c r="M166" s="107"/>
      <c r="N166" s="107"/>
    </row>
    <row r="167" spans="9:14" x14ac:dyDescent="0.2">
      <c r="I167" s="107"/>
      <c r="J167" s="114"/>
      <c r="K167" s="107"/>
      <c r="L167" s="107"/>
      <c r="M167" s="107"/>
      <c r="N167" s="107"/>
    </row>
    <row r="168" spans="9:14" x14ac:dyDescent="0.2">
      <c r="I168" s="107"/>
      <c r="J168" s="114"/>
      <c r="K168" s="107"/>
      <c r="L168" s="107"/>
      <c r="M168" s="107"/>
      <c r="N168" s="107"/>
    </row>
    <row r="169" spans="9:14" x14ac:dyDescent="0.2">
      <c r="I169" s="107"/>
      <c r="J169" s="114"/>
      <c r="K169" s="107"/>
      <c r="L169" s="107"/>
      <c r="M169" s="107"/>
      <c r="N169" s="107"/>
    </row>
    <row r="170" spans="9:14" x14ac:dyDescent="0.2">
      <c r="I170" s="107"/>
      <c r="J170" s="114"/>
      <c r="K170" s="107"/>
      <c r="L170" s="107"/>
      <c r="M170" s="107"/>
      <c r="N170" s="107"/>
    </row>
    <row r="171" spans="9:14" x14ac:dyDescent="0.2">
      <c r="I171" s="107"/>
      <c r="J171" s="114"/>
      <c r="K171" s="107"/>
      <c r="L171" s="107"/>
      <c r="M171" s="107"/>
      <c r="N171" s="107"/>
    </row>
    <row r="172" spans="9:14" x14ac:dyDescent="0.2">
      <c r="I172" s="107"/>
      <c r="J172" s="114"/>
      <c r="K172" s="107"/>
      <c r="L172" s="107"/>
      <c r="M172" s="107"/>
      <c r="N172" s="107"/>
    </row>
    <row r="173" spans="9:14" x14ac:dyDescent="0.2">
      <c r="I173" s="107"/>
      <c r="J173" s="114"/>
      <c r="K173" s="107"/>
      <c r="L173" s="107"/>
      <c r="M173" s="107"/>
      <c r="N173" s="107"/>
    </row>
    <row r="174" spans="9:14" x14ac:dyDescent="0.2">
      <c r="I174" s="107"/>
      <c r="J174" s="114"/>
      <c r="K174" s="107"/>
      <c r="L174" s="107"/>
      <c r="M174" s="107"/>
      <c r="N174" s="107"/>
    </row>
    <row r="175" spans="9:14" x14ac:dyDescent="0.2">
      <c r="I175" s="107"/>
      <c r="J175" s="114"/>
      <c r="K175" s="107"/>
      <c r="L175" s="107"/>
      <c r="M175" s="107"/>
      <c r="N175" s="107"/>
    </row>
    <row r="176" spans="9:14" x14ac:dyDescent="0.2">
      <c r="I176" s="107"/>
      <c r="J176" s="114"/>
      <c r="K176" s="107"/>
      <c r="L176" s="107"/>
      <c r="M176" s="107"/>
      <c r="N176" s="107"/>
    </row>
    <row r="177" spans="9:14" x14ac:dyDescent="0.2">
      <c r="I177" s="107"/>
      <c r="J177" s="114"/>
      <c r="K177" s="107"/>
      <c r="L177" s="107"/>
      <c r="M177" s="107"/>
      <c r="N177" s="107"/>
    </row>
    <row r="178" spans="9:14" x14ac:dyDescent="0.2">
      <c r="I178" s="107"/>
      <c r="J178" s="114"/>
      <c r="K178" s="107"/>
      <c r="L178" s="107"/>
      <c r="M178" s="107"/>
      <c r="N178" s="107"/>
    </row>
    <row r="179" spans="9:14" x14ac:dyDescent="0.2">
      <c r="I179" s="107"/>
      <c r="J179" s="114"/>
      <c r="K179" s="107"/>
      <c r="L179" s="107"/>
      <c r="M179" s="107"/>
      <c r="N179" s="107"/>
    </row>
    <row r="180" spans="9:14" x14ac:dyDescent="0.2">
      <c r="I180" s="107"/>
      <c r="J180" s="114"/>
      <c r="K180" s="107"/>
      <c r="L180" s="107"/>
      <c r="M180" s="107"/>
      <c r="N180" s="107"/>
    </row>
    <row r="181" spans="9:14" x14ac:dyDescent="0.2">
      <c r="I181" s="107"/>
      <c r="J181" s="114"/>
      <c r="K181" s="107"/>
      <c r="L181" s="107"/>
      <c r="M181" s="107"/>
      <c r="N181" s="107"/>
    </row>
    <row r="182" spans="9:14" x14ac:dyDescent="0.2">
      <c r="I182" s="107"/>
      <c r="J182" s="114"/>
      <c r="K182" s="107"/>
      <c r="L182" s="107"/>
      <c r="M182" s="107"/>
      <c r="N182" s="107"/>
    </row>
    <row r="183" spans="9:14" x14ac:dyDescent="0.2">
      <c r="I183" s="107"/>
      <c r="J183" s="114"/>
      <c r="K183" s="107"/>
      <c r="L183" s="107"/>
      <c r="M183" s="107"/>
      <c r="N183" s="107"/>
    </row>
    <row r="184" spans="9:14" x14ac:dyDescent="0.2">
      <c r="I184" s="107"/>
      <c r="J184" s="114"/>
      <c r="K184" s="107"/>
      <c r="L184" s="107"/>
      <c r="M184" s="107"/>
      <c r="N184" s="107"/>
    </row>
    <row r="185" spans="9:14" x14ac:dyDescent="0.2">
      <c r="I185" s="107"/>
      <c r="J185" s="114"/>
      <c r="K185" s="107"/>
      <c r="L185" s="107"/>
      <c r="M185" s="107"/>
      <c r="N185" s="107"/>
    </row>
    <row r="186" spans="9:14" x14ac:dyDescent="0.2">
      <c r="I186" s="107"/>
      <c r="J186" s="114"/>
      <c r="K186" s="107"/>
      <c r="L186" s="107"/>
      <c r="M186" s="107"/>
      <c r="N186" s="107"/>
    </row>
    <row r="187" spans="9:14" x14ac:dyDescent="0.2">
      <c r="I187" s="107"/>
      <c r="J187" s="114"/>
      <c r="K187" s="107"/>
      <c r="L187" s="107"/>
      <c r="M187" s="107"/>
      <c r="N187" s="107"/>
    </row>
    <row r="188" spans="9:14" x14ac:dyDescent="0.2">
      <c r="I188" s="107"/>
      <c r="J188" s="114"/>
      <c r="K188" s="107"/>
      <c r="L188" s="107"/>
      <c r="M188" s="107"/>
      <c r="N188" s="107"/>
    </row>
    <row r="189" spans="9:14" x14ac:dyDescent="0.2">
      <c r="I189" s="107"/>
      <c r="J189" s="114"/>
      <c r="K189" s="107"/>
      <c r="L189" s="107"/>
      <c r="M189" s="107"/>
      <c r="N189" s="107"/>
    </row>
    <row r="190" spans="9:14" x14ac:dyDescent="0.2">
      <c r="I190" s="107"/>
      <c r="J190" s="114"/>
      <c r="K190" s="107"/>
      <c r="L190" s="107"/>
      <c r="M190" s="107"/>
      <c r="N190" s="107"/>
    </row>
    <row r="191" spans="9:14" x14ac:dyDescent="0.2">
      <c r="I191" s="107"/>
      <c r="J191" s="114"/>
      <c r="K191" s="107"/>
      <c r="L191" s="107"/>
      <c r="M191" s="107"/>
      <c r="N191" s="107"/>
    </row>
    <row r="192" spans="9:14" x14ac:dyDescent="0.2">
      <c r="I192" s="107"/>
      <c r="J192" s="114"/>
      <c r="K192" s="107"/>
      <c r="L192" s="107"/>
      <c r="M192" s="107"/>
      <c r="N192" s="107"/>
    </row>
    <row r="193" spans="9:14" x14ac:dyDescent="0.2">
      <c r="I193" s="107"/>
      <c r="J193" s="114"/>
      <c r="K193" s="107"/>
      <c r="L193" s="107"/>
      <c r="M193" s="107"/>
      <c r="N193" s="107"/>
    </row>
    <row r="194" spans="9:14" x14ac:dyDescent="0.2">
      <c r="I194" s="107"/>
      <c r="J194" s="114"/>
      <c r="K194" s="107"/>
      <c r="L194" s="107"/>
      <c r="M194" s="107"/>
      <c r="N194" s="107"/>
    </row>
    <row r="195" spans="9:14" x14ac:dyDescent="0.2">
      <c r="I195" s="107"/>
      <c r="J195" s="114"/>
      <c r="K195" s="107"/>
      <c r="L195" s="107"/>
      <c r="M195" s="107"/>
      <c r="N195" s="107"/>
    </row>
    <row r="196" spans="9:14" x14ac:dyDescent="0.2">
      <c r="I196" s="107"/>
      <c r="J196" s="114"/>
      <c r="K196" s="107"/>
      <c r="L196" s="107"/>
      <c r="M196" s="107"/>
      <c r="N196" s="107"/>
    </row>
    <row r="197" spans="9:14" x14ac:dyDescent="0.2">
      <c r="I197" s="107"/>
      <c r="J197" s="114"/>
      <c r="K197" s="107"/>
      <c r="L197" s="107"/>
      <c r="M197" s="107"/>
      <c r="N197" s="107"/>
    </row>
    <row r="198" spans="9:14" x14ac:dyDescent="0.2">
      <c r="I198" s="107"/>
      <c r="J198" s="114"/>
      <c r="K198" s="107"/>
      <c r="L198" s="107"/>
      <c r="M198" s="107"/>
      <c r="N198" s="107"/>
    </row>
    <row r="199" spans="9:14" x14ac:dyDescent="0.2">
      <c r="I199" s="107"/>
      <c r="J199" s="114"/>
      <c r="K199" s="107"/>
      <c r="L199" s="107"/>
      <c r="M199" s="107"/>
      <c r="N199" s="107"/>
    </row>
    <row r="200" spans="9:14" x14ac:dyDescent="0.2">
      <c r="I200" s="107"/>
      <c r="J200" s="114"/>
      <c r="K200" s="107"/>
      <c r="L200" s="107"/>
      <c r="M200" s="107"/>
      <c r="N200" s="107"/>
    </row>
    <row r="201" spans="9:14" x14ac:dyDescent="0.2">
      <c r="I201" s="107"/>
      <c r="J201" s="114"/>
      <c r="K201" s="107"/>
      <c r="L201" s="107"/>
      <c r="M201" s="107"/>
      <c r="N201" s="107"/>
    </row>
    <row r="202" spans="9:14" x14ac:dyDescent="0.2">
      <c r="I202" s="107"/>
      <c r="J202" s="114"/>
      <c r="K202" s="107"/>
      <c r="L202" s="107"/>
      <c r="M202" s="107"/>
      <c r="N202" s="107"/>
    </row>
    <row r="203" spans="9:14" x14ac:dyDescent="0.2">
      <c r="I203" s="107"/>
      <c r="J203" s="114"/>
      <c r="K203" s="107"/>
      <c r="L203" s="107"/>
      <c r="M203" s="107"/>
      <c r="N203" s="107"/>
    </row>
    <row r="204" spans="9:14" x14ac:dyDescent="0.2">
      <c r="I204" s="107"/>
      <c r="J204" s="114"/>
      <c r="K204" s="107"/>
      <c r="L204" s="107"/>
      <c r="M204" s="107"/>
      <c r="N204" s="107"/>
    </row>
    <row r="205" spans="9:14" x14ac:dyDescent="0.2">
      <c r="I205" s="107"/>
      <c r="J205" s="114"/>
      <c r="K205" s="107"/>
      <c r="L205" s="107"/>
      <c r="M205" s="107"/>
      <c r="N205" s="107"/>
    </row>
    <row r="206" spans="9:14" x14ac:dyDescent="0.2">
      <c r="I206" s="107"/>
      <c r="J206" s="114"/>
      <c r="K206" s="107"/>
      <c r="L206" s="107"/>
      <c r="M206" s="107"/>
      <c r="N206" s="107"/>
    </row>
    <row r="207" spans="9:14" x14ac:dyDescent="0.2">
      <c r="I207" s="107"/>
      <c r="J207" s="114"/>
      <c r="K207" s="107"/>
      <c r="L207" s="107"/>
      <c r="M207" s="107"/>
      <c r="N207" s="107"/>
    </row>
    <row r="208" spans="9:14" x14ac:dyDescent="0.2">
      <c r="I208" s="107"/>
      <c r="J208" s="114"/>
      <c r="K208" s="107"/>
      <c r="L208" s="107"/>
      <c r="M208" s="107"/>
      <c r="N208" s="107"/>
    </row>
    <row r="209" spans="9:14" x14ac:dyDescent="0.2">
      <c r="I209" s="107"/>
      <c r="J209" s="114"/>
      <c r="K209" s="107"/>
      <c r="L209" s="107"/>
      <c r="M209" s="107"/>
      <c r="N209" s="107"/>
    </row>
    <row r="210" spans="9:14" x14ac:dyDescent="0.2">
      <c r="I210" s="107"/>
      <c r="J210" s="114"/>
      <c r="K210" s="107"/>
      <c r="L210" s="107"/>
      <c r="M210" s="107"/>
      <c r="N210" s="107"/>
    </row>
    <row r="211" spans="9:14" x14ac:dyDescent="0.2">
      <c r="I211" s="107"/>
      <c r="J211" s="114"/>
      <c r="K211" s="107"/>
      <c r="L211" s="107"/>
      <c r="M211" s="107"/>
      <c r="N211" s="107"/>
    </row>
    <row r="212" spans="9:14" x14ac:dyDescent="0.2">
      <c r="I212" s="107"/>
      <c r="J212" s="114"/>
      <c r="K212" s="107"/>
      <c r="L212" s="107"/>
      <c r="M212" s="107"/>
      <c r="N212" s="107"/>
    </row>
    <row r="213" spans="9:14" x14ac:dyDescent="0.2">
      <c r="I213" s="107"/>
      <c r="J213" s="114"/>
      <c r="K213" s="107"/>
      <c r="L213" s="107"/>
      <c r="M213" s="107"/>
      <c r="N213" s="107"/>
    </row>
    <row r="214" spans="9:14" x14ac:dyDescent="0.2">
      <c r="I214" s="107"/>
      <c r="J214" s="114"/>
      <c r="K214" s="107"/>
      <c r="L214" s="107"/>
      <c r="M214" s="107"/>
      <c r="N214" s="107"/>
    </row>
    <row r="215" spans="9:14" x14ac:dyDescent="0.2">
      <c r="I215" s="107"/>
      <c r="J215" s="114"/>
      <c r="K215" s="107"/>
      <c r="L215" s="107"/>
      <c r="M215" s="107"/>
      <c r="N215" s="107"/>
    </row>
    <row r="216" spans="9:14" x14ac:dyDescent="0.2">
      <c r="I216" s="107"/>
      <c r="J216" s="114"/>
      <c r="K216" s="107"/>
      <c r="L216" s="107"/>
      <c r="M216" s="107"/>
      <c r="N216" s="107"/>
    </row>
    <row r="217" spans="9:14" x14ac:dyDescent="0.2">
      <c r="I217" s="107"/>
      <c r="J217" s="114"/>
      <c r="K217" s="107"/>
      <c r="L217" s="107"/>
      <c r="M217" s="107"/>
      <c r="N217" s="107"/>
    </row>
    <row r="218" spans="9:14" x14ac:dyDescent="0.2">
      <c r="I218" s="107"/>
      <c r="J218" s="114"/>
      <c r="K218" s="107"/>
      <c r="L218" s="107"/>
      <c r="M218" s="107"/>
      <c r="N218" s="107"/>
    </row>
    <row r="219" spans="9:14" x14ac:dyDescent="0.2">
      <c r="I219" s="107"/>
      <c r="J219" s="114"/>
      <c r="K219" s="107"/>
      <c r="L219" s="107"/>
      <c r="M219" s="107"/>
      <c r="N219" s="107"/>
    </row>
    <row r="220" spans="9:14" x14ac:dyDescent="0.2">
      <c r="I220" s="107"/>
      <c r="J220" s="114"/>
      <c r="K220" s="107"/>
      <c r="L220" s="107"/>
      <c r="M220" s="107"/>
      <c r="N220" s="107"/>
    </row>
    <row r="221" spans="9:14" x14ac:dyDescent="0.2">
      <c r="I221" s="107"/>
      <c r="J221" s="114"/>
      <c r="K221" s="107"/>
      <c r="L221" s="107"/>
      <c r="M221" s="107"/>
      <c r="N221" s="107"/>
    </row>
    <row r="222" spans="9:14" x14ac:dyDescent="0.2">
      <c r="I222" s="107"/>
      <c r="J222" s="114"/>
      <c r="K222" s="107"/>
      <c r="L222" s="107"/>
      <c r="M222" s="107"/>
      <c r="N222" s="107"/>
    </row>
    <row r="223" spans="9:14" x14ac:dyDescent="0.2">
      <c r="I223" s="107"/>
      <c r="J223" s="114"/>
      <c r="K223" s="107"/>
      <c r="L223" s="107"/>
      <c r="M223" s="107"/>
      <c r="N223" s="107"/>
    </row>
    <row r="224" spans="9:14" x14ac:dyDescent="0.2">
      <c r="I224" s="107"/>
      <c r="J224" s="114"/>
      <c r="K224" s="107"/>
      <c r="L224" s="107"/>
      <c r="M224" s="107"/>
      <c r="N224" s="107"/>
    </row>
    <row r="225" spans="9:14" x14ac:dyDescent="0.2">
      <c r="I225" s="107"/>
      <c r="J225" s="114"/>
      <c r="K225" s="107"/>
      <c r="L225" s="107"/>
      <c r="M225" s="107"/>
      <c r="N225" s="107"/>
    </row>
    <row r="226" spans="9:14" x14ac:dyDescent="0.2">
      <c r="I226" s="107"/>
      <c r="J226" s="114"/>
      <c r="K226" s="107"/>
      <c r="L226" s="107"/>
      <c r="M226" s="107"/>
      <c r="N226" s="107"/>
    </row>
    <row r="227" spans="9:14" x14ac:dyDescent="0.2">
      <c r="I227" s="107"/>
      <c r="J227" s="114"/>
      <c r="K227" s="107"/>
      <c r="L227" s="107"/>
      <c r="M227" s="107"/>
      <c r="N227" s="107"/>
    </row>
    <row r="228" spans="9:14" x14ac:dyDescent="0.2">
      <c r="I228" s="107"/>
      <c r="J228" s="114"/>
      <c r="K228" s="107"/>
      <c r="L228" s="107"/>
      <c r="M228" s="107"/>
      <c r="N228" s="107"/>
    </row>
    <row r="229" spans="9:14" x14ac:dyDescent="0.2">
      <c r="I229" s="107"/>
      <c r="J229" s="114"/>
      <c r="K229" s="107"/>
      <c r="L229" s="107"/>
      <c r="M229" s="107"/>
      <c r="N229" s="107"/>
    </row>
    <row r="230" spans="9:14" x14ac:dyDescent="0.2">
      <c r="I230" s="107"/>
      <c r="J230" s="114"/>
      <c r="K230" s="107"/>
      <c r="L230" s="107"/>
      <c r="M230" s="107"/>
      <c r="N230" s="107"/>
    </row>
    <row r="231" spans="9:14" x14ac:dyDescent="0.2">
      <c r="I231" s="107"/>
      <c r="J231" s="114"/>
      <c r="K231" s="107"/>
      <c r="L231" s="107"/>
      <c r="M231" s="107"/>
      <c r="N231" s="107"/>
    </row>
    <row r="232" spans="9:14" x14ac:dyDescent="0.2">
      <c r="I232" s="107"/>
      <c r="J232" s="114"/>
      <c r="K232" s="107"/>
      <c r="L232" s="107"/>
      <c r="M232" s="107"/>
      <c r="N232" s="107"/>
    </row>
    <row r="233" spans="9:14" x14ac:dyDescent="0.2">
      <c r="I233" s="107"/>
      <c r="J233" s="114"/>
      <c r="K233" s="107"/>
      <c r="L233" s="107"/>
      <c r="M233" s="107"/>
      <c r="N233" s="107"/>
    </row>
    <row r="234" spans="9:14" x14ac:dyDescent="0.2">
      <c r="I234" s="107"/>
      <c r="J234" s="114"/>
      <c r="K234" s="107"/>
      <c r="L234" s="107"/>
      <c r="M234" s="107"/>
      <c r="N234" s="107"/>
    </row>
    <row r="235" spans="9:14" x14ac:dyDescent="0.2">
      <c r="I235" s="107"/>
      <c r="J235" s="114"/>
      <c r="K235" s="107"/>
      <c r="L235" s="107"/>
      <c r="M235" s="107"/>
      <c r="N235" s="107"/>
    </row>
    <row r="1048570" ht="19.5" customHeight="1" x14ac:dyDescent="0.2"/>
  </sheetData>
  <mergeCells count="4">
    <mergeCell ref="E52:G52"/>
    <mergeCell ref="I52:N52"/>
    <mergeCell ref="E74:G74"/>
    <mergeCell ref="E78:G78"/>
  </mergeCells>
  <pageMargins left="0.2" right="0.2" top="0.5" bottom="0.5" header="0.5" footer="0.5"/>
  <pageSetup fitToWidth="0" fitToHeight="0"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3D656-1EDD-43DC-9E75-BD49941D55F4}">
  <dimension ref="A1:S56"/>
  <sheetViews>
    <sheetView showGridLines="0" topLeftCell="A2" zoomScale="120" zoomScaleNormal="120" workbookViewId="0">
      <selection activeCell="D37" sqref="D37"/>
    </sheetView>
  </sheetViews>
  <sheetFormatPr defaultColWidth="8.7109375" defaultRowHeight="12.75" outlineLevelRow="1" x14ac:dyDescent="0.2"/>
  <cols>
    <col min="1" max="1" width="19.5703125" style="1" customWidth="1"/>
    <col min="2" max="2" width="9.5703125" style="1" customWidth="1"/>
    <col min="3" max="3" width="11.5703125" style="1" customWidth="1"/>
    <col min="4" max="12" width="11.85546875" style="1" customWidth="1"/>
    <col min="13" max="17" width="10" style="1" customWidth="1"/>
    <col min="18" max="16384" width="8.7109375" style="1"/>
  </cols>
  <sheetData>
    <row r="1" spans="1:19" x14ac:dyDescent="0.2">
      <c r="A1" s="52" t="s">
        <v>243</v>
      </c>
      <c r="J1" s="398" t="s">
        <v>330</v>
      </c>
      <c r="K1" s="398"/>
    </row>
    <row r="2" spans="1:19" ht="48.75" customHeight="1" x14ac:dyDescent="0.2">
      <c r="A2" s="41" t="str">
        <f>'PepsiCo-IS'!A2</f>
        <v>(in USD million except per Share Data)</v>
      </c>
      <c r="J2" s="398"/>
      <c r="K2" s="398"/>
      <c r="M2" s="398" t="s">
        <v>331</v>
      </c>
      <c r="N2" s="398"/>
      <c r="O2" s="398"/>
      <c r="P2" s="398"/>
      <c r="Q2" s="398"/>
      <c r="R2" s="398" t="s">
        <v>332</v>
      </c>
      <c r="S2" s="398"/>
    </row>
    <row r="3" spans="1:19" x14ac:dyDescent="0.2">
      <c r="A3" s="72" t="s">
        <v>315</v>
      </c>
      <c r="B3" s="162">
        <v>12</v>
      </c>
      <c r="C3" s="162">
        <f>'PepsiCo-IS'!E3</f>
        <v>12</v>
      </c>
      <c r="D3" s="162">
        <f>'PepsiCo-IS'!F3</f>
        <v>12</v>
      </c>
      <c r="E3" s="162">
        <f>'PepsiCo-IS'!G3</f>
        <v>12</v>
      </c>
      <c r="F3" s="214"/>
      <c r="G3" s="162">
        <v>6</v>
      </c>
      <c r="H3" s="162">
        <f>'PepsiCo-IS'!H3</f>
        <v>6</v>
      </c>
      <c r="I3" s="164"/>
      <c r="J3" s="162">
        <v>6</v>
      </c>
      <c r="K3" s="163">
        <f>'PepsiCo-IS'!I3</f>
        <v>6</v>
      </c>
      <c r="L3" s="164"/>
      <c r="M3" s="163">
        <f>'PepsiCo-IS'!J3</f>
        <v>12</v>
      </c>
      <c r="N3" s="163">
        <f>'PepsiCo-IS'!K3</f>
        <v>12</v>
      </c>
      <c r="O3" s="163">
        <f>'PepsiCo-IS'!L3</f>
        <v>12</v>
      </c>
      <c r="P3" s="163">
        <f>'PepsiCo-IS'!M3</f>
        <v>12</v>
      </c>
      <c r="Q3" s="163">
        <f>'PepsiCo-IS'!N3</f>
        <v>12</v>
      </c>
    </row>
    <row r="4" spans="1:19" ht="16.5" customHeight="1" x14ac:dyDescent="0.2">
      <c r="A4" s="53"/>
      <c r="B4" s="165">
        <v>42735</v>
      </c>
      <c r="C4" s="165">
        <f>'PepsiCo-IS'!E4</f>
        <v>43100</v>
      </c>
      <c r="D4" s="165">
        <f>'PepsiCo-IS'!F4</f>
        <v>43465</v>
      </c>
      <c r="E4" s="165">
        <f>'PepsiCo-IS'!G4</f>
        <v>43830</v>
      </c>
      <c r="F4" s="214"/>
      <c r="G4" s="165">
        <v>43646</v>
      </c>
      <c r="H4" s="165">
        <f>'PepsiCo-IS'!H4</f>
        <v>43995</v>
      </c>
      <c r="I4" s="164"/>
      <c r="J4" s="165">
        <v>43830</v>
      </c>
      <c r="K4" s="106">
        <f>'PepsiCo-IS'!I4</f>
        <v>44196</v>
      </c>
      <c r="L4" s="164"/>
      <c r="M4" s="106">
        <f>'PepsiCo-IS'!J4</f>
        <v>44196</v>
      </c>
      <c r="N4" s="106">
        <f>'PepsiCo-IS'!K4</f>
        <v>44561</v>
      </c>
      <c r="O4" s="106">
        <f>'PepsiCo-IS'!L4</f>
        <v>44926</v>
      </c>
      <c r="P4" s="106">
        <f>'PepsiCo-IS'!M4</f>
        <v>45291</v>
      </c>
      <c r="Q4" s="106">
        <f>'PepsiCo-IS'!N4</f>
        <v>45657</v>
      </c>
    </row>
    <row r="5" spans="1:19" x14ac:dyDescent="0.2">
      <c r="A5" s="71" t="s">
        <v>72</v>
      </c>
      <c r="B5" s="34">
        <v>15549</v>
      </c>
      <c r="C5" s="34">
        <v>15798</v>
      </c>
      <c r="D5" s="34">
        <v>16346</v>
      </c>
      <c r="E5" s="34">
        <v>17078</v>
      </c>
      <c r="F5" s="34"/>
      <c r="G5" s="92">
        <v>7825</v>
      </c>
      <c r="H5" s="92">
        <v>8347</v>
      </c>
      <c r="I5" s="90"/>
      <c r="J5" s="92">
        <f>E5-G5</f>
        <v>9253</v>
      </c>
      <c r="K5" s="122">
        <f>J5*(1+K7)</f>
        <v>9870.2608306709262</v>
      </c>
      <c r="L5" s="90"/>
      <c r="M5" s="122">
        <f>K5+H5</f>
        <v>18217.260830670926</v>
      </c>
      <c r="N5" s="122">
        <f>M5*(1+$N7)</f>
        <v>18882.00584332769</v>
      </c>
      <c r="O5" s="122">
        <f>N5*(1+$N7)</f>
        <v>19571.007298045603</v>
      </c>
      <c r="P5" s="122">
        <f>O5*(1+$N7)</f>
        <v>20285.150308620578</v>
      </c>
      <c r="Q5" s="122">
        <f>P5*(1+$N7)</f>
        <v>21025.352286513196</v>
      </c>
    </row>
    <row r="6" spans="1:19" x14ac:dyDescent="0.2">
      <c r="A6" s="75" t="s">
        <v>80</v>
      </c>
      <c r="B6" s="34"/>
      <c r="C6" s="74">
        <v>0.02</v>
      </c>
      <c r="D6" s="74">
        <f>D5/C5-1</f>
        <v>3.4687935181668461E-2</v>
      </c>
      <c r="E6" s="76">
        <f>E5/D5-1</f>
        <v>4.4781597944451246E-2</v>
      </c>
      <c r="F6" s="34"/>
      <c r="G6" s="92"/>
      <c r="H6" s="93">
        <f>H5/G5-1</f>
        <v>6.6709265175718846E-2</v>
      </c>
      <c r="I6" s="90"/>
      <c r="J6" s="92"/>
      <c r="K6" s="122"/>
      <c r="L6" s="90"/>
      <c r="M6" s="122"/>
      <c r="N6" s="251"/>
      <c r="O6" s="251"/>
      <c r="P6" s="251"/>
      <c r="Q6" s="251"/>
    </row>
    <row r="7" spans="1:19" x14ac:dyDescent="0.2">
      <c r="A7" s="77" t="s">
        <v>82</v>
      </c>
      <c r="B7" s="34"/>
      <c r="C7" s="76">
        <v>0.03</v>
      </c>
      <c r="D7" s="76">
        <f>D6</f>
        <v>3.4687935181668461E-2</v>
      </c>
      <c r="E7" s="76">
        <f>E6</f>
        <v>4.4781597944451246E-2</v>
      </c>
      <c r="F7" s="131">
        <f>AVERAGE(C7:E7)</f>
        <v>3.6489844375373233E-2</v>
      </c>
      <c r="G7" s="93"/>
      <c r="H7" s="93">
        <f>H6</f>
        <v>6.6709265175718846E-2</v>
      </c>
      <c r="I7" s="91"/>
      <c r="J7" s="93"/>
      <c r="K7" s="123">
        <f>H7</f>
        <v>6.6709265175718846E-2</v>
      </c>
      <c r="L7" s="91"/>
      <c r="M7" s="123"/>
      <c r="N7" s="131">
        <f>F7</f>
        <v>3.6489844375373233E-2</v>
      </c>
      <c r="O7" s="123"/>
      <c r="P7" s="123"/>
      <c r="Q7" s="123"/>
    </row>
    <row r="8" spans="1:19" hidden="1" outlineLevel="1" x14ac:dyDescent="0.2">
      <c r="A8" s="78" t="s">
        <v>81</v>
      </c>
      <c r="B8" s="34"/>
      <c r="C8" s="76">
        <v>0.01</v>
      </c>
      <c r="D8" s="76">
        <v>0.01</v>
      </c>
      <c r="E8" s="76">
        <v>0.02</v>
      </c>
      <c r="F8" s="34"/>
      <c r="G8" s="92"/>
      <c r="H8" s="93">
        <v>4.4999999999999998E-2</v>
      </c>
      <c r="I8" s="90"/>
      <c r="J8" s="92"/>
      <c r="K8" s="122"/>
      <c r="L8" s="90"/>
      <c r="M8" s="122"/>
      <c r="N8" s="251"/>
      <c r="O8" s="251"/>
      <c r="P8" s="251"/>
      <c r="Q8" s="251"/>
    </row>
    <row r="9" spans="1:19" hidden="1" outlineLevel="1" x14ac:dyDescent="0.2">
      <c r="A9" s="78" t="s">
        <v>49</v>
      </c>
      <c r="B9" s="34"/>
      <c r="C9" s="76">
        <f>C7-C8</f>
        <v>1.9999999999999997E-2</v>
      </c>
      <c r="D9" s="76">
        <f>D7-D8</f>
        <v>2.4687935181668459E-2</v>
      </c>
      <c r="E9" s="76">
        <f>E7-E8</f>
        <v>2.4781597944451245E-2</v>
      </c>
      <c r="F9" s="34"/>
      <c r="G9" s="92"/>
      <c r="H9" s="93">
        <f>H7-H8</f>
        <v>2.1709265175718848E-2</v>
      </c>
      <c r="I9" s="90"/>
      <c r="J9" s="92"/>
      <c r="K9" s="122"/>
      <c r="L9" s="90"/>
      <c r="M9" s="122"/>
      <c r="N9" s="251"/>
      <c r="O9" s="251"/>
      <c r="P9" s="251"/>
      <c r="Q9" s="251"/>
    </row>
    <row r="10" spans="1:19" collapsed="1" x14ac:dyDescent="0.2">
      <c r="A10" s="71"/>
      <c r="B10" s="34"/>
      <c r="C10" s="34"/>
      <c r="D10" s="34"/>
      <c r="E10" s="34"/>
      <c r="F10" s="34"/>
      <c r="G10" s="92"/>
      <c r="H10" s="95"/>
      <c r="I10" s="90"/>
      <c r="J10" s="92"/>
      <c r="K10" s="122"/>
      <c r="L10" s="90"/>
      <c r="M10" s="122"/>
      <c r="N10" s="251"/>
      <c r="O10" s="251"/>
      <c r="P10" s="251"/>
      <c r="Q10" s="251"/>
    </row>
    <row r="11" spans="1:19" x14ac:dyDescent="0.2">
      <c r="A11" s="71" t="s">
        <v>73</v>
      </c>
      <c r="B11" s="34">
        <v>2564</v>
      </c>
      <c r="C11" s="34">
        <v>2503</v>
      </c>
      <c r="D11" s="34">
        <v>2465</v>
      </c>
      <c r="E11" s="34">
        <v>2482</v>
      </c>
      <c r="F11" s="34"/>
      <c r="G11" s="92">
        <v>1134</v>
      </c>
      <c r="H11" s="92">
        <v>1298</v>
      </c>
      <c r="I11" s="90"/>
      <c r="J11" s="92">
        <f>E11-G11</f>
        <v>1348</v>
      </c>
      <c r="K11" s="122">
        <f>J11*(1+K13)</f>
        <v>1542.9488536155204</v>
      </c>
      <c r="L11" s="90"/>
      <c r="M11" s="122">
        <f>K11+H11</f>
        <v>2840.9488536155204</v>
      </c>
      <c r="N11" s="122">
        <f>M11*(1+$N13)</f>
        <v>2823.6330524163236</v>
      </c>
      <c r="O11" s="122">
        <f>N11*(1+$N13)</f>
        <v>2806.4227923537751</v>
      </c>
      <c r="P11" s="122">
        <f>O11*(1+$N13)</f>
        <v>2789.3174301465506</v>
      </c>
      <c r="Q11" s="122">
        <f>P11*(1+$N13)</f>
        <v>2772.3163264341752</v>
      </c>
    </row>
    <row r="12" spans="1:19" x14ac:dyDescent="0.2">
      <c r="A12" s="75" t="s">
        <v>80</v>
      </c>
      <c r="B12" s="34"/>
      <c r="C12" s="74">
        <v>-0.02</v>
      </c>
      <c r="D12" s="74">
        <f>D11/C11-1</f>
        <v>-1.5181781861765886E-2</v>
      </c>
      <c r="E12" s="74">
        <f>E11/D11-1</f>
        <v>6.8965517241379448E-3</v>
      </c>
      <c r="F12" s="34"/>
      <c r="G12" s="92"/>
      <c r="H12" s="93">
        <f>H11/G11-1</f>
        <v>0.14462081128747806</v>
      </c>
      <c r="I12" s="90"/>
      <c r="J12" s="92"/>
      <c r="K12" s="122"/>
      <c r="L12" s="90"/>
      <c r="M12" s="122"/>
      <c r="N12" s="251"/>
      <c r="O12" s="251"/>
      <c r="P12" s="251"/>
      <c r="Q12" s="251"/>
    </row>
    <row r="13" spans="1:19" x14ac:dyDescent="0.2">
      <c r="A13" s="77" t="s">
        <v>82</v>
      </c>
      <c r="B13" s="34"/>
      <c r="C13" s="76">
        <v>-0.01</v>
      </c>
      <c r="D13" s="76">
        <f>D12</f>
        <v>-1.5181781861765886E-2</v>
      </c>
      <c r="E13" s="76">
        <f>E12</f>
        <v>6.8965517241379448E-3</v>
      </c>
      <c r="F13" s="131">
        <f>AVERAGE(C13:E13)</f>
        <v>-6.0950767125426478E-3</v>
      </c>
      <c r="G13" s="93"/>
      <c r="H13" s="93">
        <f>H12</f>
        <v>0.14462081128747806</v>
      </c>
      <c r="I13" s="91"/>
      <c r="J13" s="93"/>
      <c r="K13" s="123">
        <f>H13</f>
        <v>0.14462081128747806</v>
      </c>
      <c r="L13" s="91"/>
      <c r="M13" s="123"/>
      <c r="N13" s="131">
        <f>F13</f>
        <v>-6.0950767125426478E-3</v>
      </c>
      <c r="O13" s="123"/>
      <c r="P13" s="123"/>
      <c r="Q13" s="123"/>
    </row>
    <row r="14" spans="1:19" hidden="1" outlineLevel="1" x14ac:dyDescent="0.2">
      <c r="A14" s="78" t="s">
        <v>81</v>
      </c>
      <c r="B14" s="34"/>
      <c r="C14" s="76">
        <v>0</v>
      </c>
      <c r="D14" s="76">
        <v>-5.0000000000000001E-3</v>
      </c>
      <c r="E14" s="76">
        <v>0</v>
      </c>
      <c r="F14" s="34"/>
      <c r="G14" s="92"/>
      <c r="H14" s="93">
        <v>0.17</v>
      </c>
      <c r="I14" s="90"/>
      <c r="J14" s="92"/>
      <c r="K14" s="122"/>
      <c r="L14" s="90"/>
      <c r="M14" s="122"/>
      <c r="N14" s="251"/>
      <c r="O14" s="251"/>
      <c r="P14" s="251"/>
      <c r="Q14" s="251"/>
    </row>
    <row r="15" spans="1:19" hidden="1" outlineLevel="1" x14ac:dyDescent="0.2">
      <c r="A15" s="78" t="s">
        <v>49</v>
      </c>
      <c r="B15" s="34"/>
      <c r="C15" s="76">
        <f>C13-C14</f>
        <v>-0.01</v>
      </c>
      <c r="D15" s="76">
        <f>D13-D14</f>
        <v>-1.0181781861765885E-2</v>
      </c>
      <c r="E15" s="76">
        <f>E13-E14</f>
        <v>6.8965517241379448E-3</v>
      </c>
      <c r="F15" s="34"/>
      <c r="G15" s="92"/>
      <c r="H15" s="93">
        <f>H13-H14</f>
        <v>-2.5379188712521955E-2</v>
      </c>
      <c r="I15" s="90"/>
      <c r="J15" s="92"/>
      <c r="K15" s="122"/>
      <c r="L15" s="90"/>
      <c r="M15" s="122"/>
      <c r="N15" s="251"/>
      <c r="O15" s="251"/>
      <c r="P15" s="251"/>
      <c r="Q15" s="251"/>
    </row>
    <row r="16" spans="1:19" collapsed="1" x14ac:dyDescent="0.2">
      <c r="A16" s="71"/>
      <c r="B16" s="34"/>
      <c r="C16" s="34"/>
      <c r="D16" s="34"/>
      <c r="E16" s="34"/>
      <c r="F16" s="34"/>
      <c r="G16" s="92"/>
      <c r="H16" s="92"/>
      <c r="I16" s="90"/>
      <c r="J16" s="92"/>
      <c r="K16" s="122"/>
      <c r="L16" s="90"/>
      <c r="M16" s="122"/>
      <c r="N16" s="251"/>
      <c r="O16" s="251"/>
      <c r="P16" s="251"/>
      <c r="Q16" s="251"/>
    </row>
    <row r="17" spans="1:17" x14ac:dyDescent="0.2">
      <c r="A17" s="71" t="s">
        <v>74</v>
      </c>
      <c r="B17" s="34">
        <v>21312</v>
      </c>
      <c r="C17" s="34">
        <v>20936</v>
      </c>
      <c r="D17" s="34">
        <v>21072</v>
      </c>
      <c r="E17" s="34">
        <v>21730</v>
      </c>
      <c r="F17" s="34"/>
      <c r="G17" s="92">
        <v>9832</v>
      </c>
      <c r="H17" s="92">
        <v>9808</v>
      </c>
      <c r="I17" s="90"/>
      <c r="J17" s="92">
        <f>E17-G17</f>
        <v>11898</v>
      </c>
      <c r="K17" s="122">
        <f>J17*(1+K19)</f>
        <v>11779.02</v>
      </c>
      <c r="L17" s="90"/>
      <c r="M17" s="122">
        <f>K17+H17</f>
        <v>21587.02</v>
      </c>
      <c r="N17" s="122">
        <f>M17*(1+$N19)</f>
        <v>21937.765768979745</v>
      </c>
      <c r="O17" s="122">
        <f>N17*(1+$N19)</f>
        <v>22294.21045306946</v>
      </c>
      <c r="P17" s="122">
        <f>O17*(1+$N19)</f>
        <v>22656.446648207006</v>
      </c>
      <c r="Q17" s="122">
        <f>P17*(1+$N19)</f>
        <v>23024.568454828484</v>
      </c>
    </row>
    <row r="18" spans="1:17" x14ac:dyDescent="0.2">
      <c r="A18" s="75" t="s">
        <v>80</v>
      </c>
      <c r="B18" s="34"/>
      <c r="C18" s="74">
        <f>C17/B17-1</f>
        <v>-1.7642642642642592E-2</v>
      </c>
      <c r="D18" s="74">
        <f>D17/C17-1</f>
        <v>6.4959877722583492E-3</v>
      </c>
      <c r="E18" s="74">
        <f>E17/D17-1</f>
        <v>3.1226271829916552E-2</v>
      </c>
      <c r="F18" s="34"/>
      <c r="G18" s="92"/>
      <c r="H18" s="93">
        <f>H17/G17-1</f>
        <v>-2.4410089503661414E-3</v>
      </c>
      <c r="I18" s="90"/>
      <c r="J18" s="92"/>
      <c r="K18" s="122"/>
      <c r="L18" s="90"/>
      <c r="M18" s="122"/>
      <c r="N18" s="251"/>
      <c r="O18" s="251"/>
      <c r="P18" s="251"/>
      <c r="Q18" s="251"/>
    </row>
    <row r="19" spans="1:17" x14ac:dyDescent="0.2">
      <c r="A19" s="77" t="s">
        <v>82</v>
      </c>
      <c r="B19" s="34"/>
      <c r="C19" s="76"/>
      <c r="D19" s="76">
        <f>D18</f>
        <v>6.4959877722583492E-3</v>
      </c>
      <c r="E19" s="76">
        <v>2.5999999999999999E-2</v>
      </c>
      <c r="F19" s="131">
        <f>AVERAGE(C19:E19)</f>
        <v>1.6247993886129172E-2</v>
      </c>
      <c r="G19" s="93"/>
      <c r="H19" s="93">
        <v>-0.01</v>
      </c>
      <c r="I19" s="91"/>
      <c r="J19" s="93"/>
      <c r="K19" s="123">
        <f>H19</f>
        <v>-0.01</v>
      </c>
      <c r="L19" s="91"/>
      <c r="M19" s="123"/>
      <c r="N19" s="131">
        <f>F19</f>
        <v>1.6247993886129172E-2</v>
      </c>
      <c r="O19" s="123"/>
      <c r="P19" s="123"/>
      <c r="Q19" s="123"/>
    </row>
    <row r="20" spans="1:17" hidden="1" outlineLevel="1" x14ac:dyDescent="0.2">
      <c r="A20" s="78" t="s">
        <v>81</v>
      </c>
      <c r="B20" s="34"/>
      <c r="C20" s="76"/>
      <c r="D20" s="76">
        <v>-0.01</v>
      </c>
      <c r="E20" s="76">
        <v>-0.01</v>
      </c>
      <c r="F20" s="34"/>
      <c r="G20" s="92"/>
      <c r="H20" s="93">
        <v>-0.03</v>
      </c>
      <c r="I20" s="90"/>
      <c r="J20" s="92"/>
      <c r="K20" s="122"/>
      <c r="L20" s="90"/>
      <c r="M20" s="122"/>
      <c r="N20" s="251"/>
      <c r="O20" s="251"/>
      <c r="P20" s="251"/>
      <c r="Q20" s="251"/>
    </row>
    <row r="21" spans="1:17" hidden="1" outlineLevel="1" x14ac:dyDescent="0.2">
      <c r="A21" s="78" t="s">
        <v>49</v>
      </c>
      <c r="B21" s="34"/>
      <c r="C21" s="76"/>
      <c r="D21" s="76">
        <f>D19-D20</f>
        <v>1.6495987772258351E-2</v>
      </c>
      <c r="E21" s="76">
        <f>E19-E20</f>
        <v>3.5999999999999997E-2</v>
      </c>
      <c r="F21" s="34"/>
      <c r="G21" s="92"/>
      <c r="H21" s="93">
        <v>0.02</v>
      </c>
      <c r="I21" s="90"/>
      <c r="J21" s="92"/>
      <c r="K21" s="122"/>
      <c r="L21" s="90"/>
      <c r="M21" s="122"/>
      <c r="N21" s="251"/>
      <c r="O21" s="251"/>
      <c r="P21" s="251"/>
      <c r="Q21" s="251"/>
    </row>
    <row r="22" spans="1:17" collapsed="1" x14ac:dyDescent="0.2">
      <c r="A22" s="71"/>
      <c r="B22" s="34"/>
      <c r="C22" s="34"/>
      <c r="D22" s="34"/>
      <c r="E22" s="34"/>
      <c r="F22" s="34"/>
      <c r="G22" s="92"/>
      <c r="H22" s="92"/>
      <c r="I22" s="90"/>
      <c r="J22" s="92"/>
      <c r="K22" s="122"/>
      <c r="L22" s="90"/>
      <c r="M22" s="122"/>
      <c r="N22" s="251"/>
      <c r="O22" s="251"/>
      <c r="P22" s="251"/>
      <c r="Q22" s="251"/>
    </row>
    <row r="23" spans="1:17" x14ac:dyDescent="0.2">
      <c r="A23" s="71" t="s">
        <v>75</v>
      </c>
      <c r="B23" s="34">
        <v>6820</v>
      </c>
      <c r="C23" s="34">
        <v>7208</v>
      </c>
      <c r="D23" s="34">
        <v>7354</v>
      </c>
      <c r="E23" s="34">
        <v>7573</v>
      </c>
      <c r="F23" s="34"/>
      <c r="G23" s="92">
        <v>3127</v>
      </c>
      <c r="H23" s="92">
        <v>2877</v>
      </c>
      <c r="I23" s="90"/>
      <c r="J23" s="92">
        <f>E23-G23</f>
        <v>4446</v>
      </c>
      <c r="K23" s="122">
        <f>J23*(1+K25)</f>
        <v>4579.38</v>
      </c>
      <c r="L23" s="90"/>
      <c r="M23" s="122">
        <f>K23+H23</f>
        <v>7456.38</v>
      </c>
      <c r="N23" s="122">
        <f>M23*(1+$N25)</f>
        <v>8015.6084999999994</v>
      </c>
      <c r="O23" s="122">
        <f>N23*(1+$N25)</f>
        <v>8616.7791374999997</v>
      </c>
      <c r="P23" s="122">
        <f>O23*(1+$N25)</f>
        <v>9263.0375728125</v>
      </c>
      <c r="Q23" s="122">
        <f>P23*(1+$N25)</f>
        <v>9957.7653907734366</v>
      </c>
    </row>
    <row r="24" spans="1:17" x14ac:dyDescent="0.2">
      <c r="A24" s="75" t="s">
        <v>80</v>
      </c>
      <c r="B24" s="34"/>
      <c r="C24" s="74">
        <f>C23/B23-1</f>
        <v>5.6891495601173014E-2</v>
      </c>
      <c r="D24" s="74">
        <f>D23/C23-1</f>
        <v>2.0255271920088802E-2</v>
      </c>
      <c r="E24" s="74">
        <f>E23/D23-1</f>
        <v>2.977971172151217E-2</v>
      </c>
      <c r="F24" s="34"/>
      <c r="G24" s="92"/>
      <c r="H24" s="93">
        <f>H23/G23-1</f>
        <v>-7.9948832747041898E-2</v>
      </c>
      <c r="I24" s="90"/>
      <c r="J24" s="92"/>
      <c r="K24" s="122"/>
      <c r="L24" s="90"/>
      <c r="M24" s="122"/>
      <c r="N24" s="251"/>
      <c r="O24" s="251"/>
      <c r="P24" s="251"/>
      <c r="Q24" s="251"/>
    </row>
    <row r="25" spans="1:17" x14ac:dyDescent="0.2">
      <c r="A25" s="77" t="s">
        <v>82</v>
      </c>
      <c r="B25" s="34"/>
      <c r="C25" s="76"/>
      <c r="D25" s="76">
        <v>0.08</v>
      </c>
      <c r="E25" s="76">
        <v>7.0000000000000007E-2</v>
      </c>
      <c r="F25" s="131">
        <f>AVERAGE(C25:E25)</f>
        <v>7.5000000000000011E-2</v>
      </c>
      <c r="G25" s="93"/>
      <c r="H25" s="93">
        <v>0.03</v>
      </c>
      <c r="I25" s="91"/>
      <c r="J25" s="93"/>
      <c r="K25" s="123">
        <f>H25</f>
        <v>0.03</v>
      </c>
      <c r="L25" s="91"/>
      <c r="M25" s="123"/>
      <c r="N25" s="131">
        <f>F25</f>
        <v>7.5000000000000011E-2</v>
      </c>
      <c r="O25" s="123"/>
      <c r="P25" s="123"/>
      <c r="Q25" s="123"/>
    </row>
    <row r="26" spans="1:17" hidden="1" outlineLevel="1" x14ac:dyDescent="0.2">
      <c r="A26" s="78" t="s">
        <v>81</v>
      </c>
      <c r="B26" s="34"/>
      <c r="C26" s="76"/>
      <c r="D26" s="76">
        <v>0.01</v>
      </c>
      <c r="E26" s="76">
        <v>0</v>
      </c>
      <c r="F26" s="34"/>
      <c r="G26" s="92"/>
      <c r="H26" s="93">
        <v>0.01</v>
      </c>
      <c r="I26" s="90"/>
      <c r="J26" s="92"/>
      <c r="K26" s="122"/>
      <c r="L26" s="90"/>
      <c r="M26" s="122"/>
      <c r="N26" s="251"/>
      <c r="O26" s="251"/>
      <c r="P26" s="251"/>
      <c r="Q26" s="251"/>
    </row>
    <row r="27" spans="1:17" hidden="1" outlineLevel="1" x14ac:dyDescent="0.2">
      <c r="A27" s="78" t="s">
        <v>49</v>
      </c>
      <c r="B27" s="34"/>
      <c r="C27" s="76"/>
      <c r="D27" s="76">
        <f>D25-D26</f>
        <v>7.0000000000000007E-2</v>
      </c>
      <c r="E27" s="76">
        <f>E25-E26</f>
        <v>7.0000000000000007E-2</v>
      </c>
      <c r="F27" s="34"/>
      <c r="G27" s="92"/>
      <c r="H27" s="93">
        <v>0.02</v>
      </c>
      <c r="I27" s="90"/>
      <c r="J27" s="92"/>
      <c r="K27" s="122"/>
      <c r="L27" s="90"/>
      <c r="M27" s="122"/>
      <c r="N27" s="251"/>
      <c r="O27" s="251"/>
      <c r="P27" s="251"/>
      <c r="Q27" s="251"/>
    </row>
    <row r="28" spans="1:17" collapsed="1" x14ac:dyDescent="0.2">
      <c r="A28" s="71"/>
      <c r="B28" s="34"/>
      <c r="C28" s="34"/>
      <c r="D28" s="34"/>
      <c r="E28" s="34"/>
      <c r="F28" s="34"/>
      <c r="G28" s="92"/>
      <c r="H28" s="92"/>
      <c r="I28" s="90"/>
      <c r="J28" s="92"/>
      <c r="K28" s="122"/>
      <c r="L28" s="90"/>
      <c r="M28" s="122"/>
      <c r="N28" s="251"/>
      <c r="O28" s="251"/>
      <c r="P28" s="251"/>
      <c r="Q28" s="251"/>
    </row>
    <row r="29" spans="1:17" x14ac:dyDescent="0.2">
      <c r="A29" s="71" t="s">
        <v>76</v>
      </c>
      <c r="B29" s="34"/>
      <c r="C29" s="34">
        <v>10522</v>
      </c>
      <c r="D29" s="34">
        <v>10973</v>
      </c>
      <c r="E29" s="34">
        <v>11728</v>
      </c>
      <c r="F29" s="34"/>
      <c r="G29" s="92">
        <v>4620</v>
      </c>
      <c r="H29" s="92">
        <v>4564</v>
      </c>
      <c r="I29" s="90"/>
      <c r="J29" s="92">
        <f>E29-G29</f>
        <v>7108</v>
      </c>
      <c r="K29" s="122">
        <f>J29*(1+K31)</f>
        <v>7321.24</v>
      </c>
      <c r="L29" s="90"/>
      <c r="M29" s="122">
        <f>K29+H29</f>
        <v>11885.24</v>
      </c>
      <c r="N29" s="122">
        <f>M29*(1+$N31)</f>
        <v>12628.067499999999</v>
      </c>
      <c r="O29" s="122">
        <f>N29*(1+$N31)</f>
        <v>13417.321718749999</v>
      </c>
      <c r="P29" s="122">
        <f>O29*(1+$N31)</f>
        <v>14255.904326171874</v>
      </c>
      <c r="Q29" s="122">
        <f>P29*(1+$N31)</f>
        <v>15146.898346557617</v>
      </c>
    </row>
    <row r="30" spans="1:17" x14ac:dyDescent="0.2">
      <c r="A30" s="75" t="s">
        <v>80</v>
      </c>
      <c r="B30" s="34"/>
      <c r="C30" s="74"/>
      <c r="D30" s="74">
        <f>D29/C29-1</f>
        <v>4.2862573655198632E-2</v>
      </c>
      <c r="E30" s="74">
        <f>E29/D29-1</f>
        <v>6.8805249248154565E-2</v>
      </c>
      <c r="F30" s="34"/>
      <c r="G30" s="92"/>
      <c r="H30" s="93">
        <f>H29/G29-1</f>
        <v>-1.2121212121212088E-2</v>
      </c>
      <c r="I30" s="90"/>
      <c r="J30" s="92"/>
      <c r="K30" s="122"/>
      <c r="L30" s="90"/>
      <c r="M30" s="122"/>
      <c r="N30" s="251"/>
      <c r="O30" s="251"/>
      <c r="P30" s="251"/>
      <c r="Q30" s="251"/>
    </row>
    <row r="31" spans="1:17" x14ac:dyDescent="0.2">
      <c r="A31" s="77" t="s">
        <v>82</v>
      </c>
      <c r="B31" s="34"/>
      <c r="C31" s="76"/>
      <c r="D31" s="76">
        <v>7.0000000000000007E-2</v>
      </c>
      <c r="E31" s="76">
        <v>5.5E-2</v>
      </c>
      <c r="F31" s="131">
        <f>AVERAGE(C31:E31)</f>
        <v>6.25E-2</v>
      </c>
      <c r="G31" s="93"/>
      <c r="H31" s="93">
        <v>0.03</v>
      </c>
      <c r="I31" s="91"/>
      <c r="J31" s="93"/>
      <c r="K31" s="123">
        <f>H31</f>
        <v>0.03</v>
      </c>
      <c r="L31" s="91"/>
      <c r="M31" s="123"/>
      <c r="N31" s="131">
        <f>F31</f>
        <v>6.25E-2</v>
      </c>
      <c r="O31" s="123"/>
      <c r="P31" s="123"/>
      <c r="Q31" s="123"/>
    </row>
    <row r="32" spans="1:17" hidden="1" outlineLevel="1" x14ac:dyDescent="0.2">
      <c r="A32" s="78" t="s">
        <v>81</v>
      </c>
      <c r="B32" s="34"/>
      <c r="C32" s="76"/>
      <c r="D32" s="76">
        <v>0.05</v>
      </c>
      <c r="E32" s="76">
        <v>-0.01</v>
      </c>
      <c r="F32" s="34"/>
      <c r="G32" s="92"/>
      <c r="H32" s="93">
        <v>0.03</v>
      </c>
      <c r="I32" s="90"/>
      <c r="J32" s="92"/>
      <c r="K32" s="122"/>
      <c r="L32" s="90"/>
      <c r="M32" s="122"/>
      <c r="N32" s="251"/>
      <c r="O32" s="251"/>
      <c r="P32" s="251"/>
      <c r="Q32" s="251"/>
    </row>
    <row r="33" spans="1:17" hidden="1" outlineLevel="1" x14ac:dyDescent="0.2">
      <c r="A33" s="78" t="s">
        <v>49</v>
      </c>
      <c r="B33" s="34"/>
      <c r="C33" s="76"/>
      <c r="D33" s="76">
        <f>D31-D32</f>
        <v>2.0000000000000004E-2</v>
      </c>
      <c r="E33" s="76">
        <f>E31-E32</f>
        <v>6.5000000000000002E-2</v>
      </c>
      <c r="F33" s="34"/>
      <c r="G33" s="92"/>
      <c r="H33" s="93">
        <v>0</v>
      </c>
      <c r="I33" s="90"/>
      <c r="J33" s="92"/>
      <c r="K33" s="122"/>
      <c r="L33" s="90"/>
      <c r="M33" s="122"/>
      <c r="N33" s="251"/>
      <c r="O33" s="251"/>
      <c r="P33" s="251"/>
      <c r="Q33" s="251"/>
    </row>
    <row r="34" spans="1:17" collapsed="1" x14ac:dyDescent="0.2">
      <c r="A34" s="71"/>
      <c r="B34" s="34"/>
      <c r="C34" s="34"/>
      <c r="D34" s="34"/>
      <c r="E34" s="34"/>
      <c r="F34" s="34"/>
      <c r="G34" s="92"/>
      <c r="H34" s="92"/>
      <c r="I34" s="90"/>
      <c r="J34" s="92"/>
      <c r="K34" s="122"/>
      <c r="L34" s="90"/>
      <c r="M34" s="122"/>
      <c r="N34" s="251"/>
      <c r="O34" s="251"/>
      <c r="P34" s="251"/>
      <c r="Q34" s="251"/>
    </row>
    <row r="35" spans="1:17" x14ac:dyDescent="0.2">
      <c r="A35" s="71" t="s">
        <v>77</v>
      </c>
      <c r="B35" s="34"/>
      <c r="C35" s="34">
        <v>3674</v>
      </c>
      <c r="D35" s="34">
        <v>3657</v>
      </c>
      <c r="E35" s="34">
        <v>3651</v>
      </c>
      <c r="F35" s="34"/>
      <c r="G35" s="92">
        <v>1576</v>
      </c>
      <c r="H35" s="92">
        <v>1614</v>
      </c>
      <c r="I35" s="90"/>
      <c r="J35" s="92">
        <f>E35-G35</f>
        <v>2075</v>
      </c>
      <c r="K35" s="122">
        <f>J35*(1+K37)</f>
        <v>2095.75</v>
      </c>
      <c r="L35" s="90"/>
      <c r="M35" s="122">
        <f>K35+H35</f>
        <v>3709.75</v>
      </c>
      <c r="N35" s="122">
        <f>M35*(1+$N37)</f>
        <v>3913.7862499999997</v>
      </c>
      <c r="O35" s="122">
        <f>N35*(1+$N37)</f>
        <v>4129.0444937499997</v>
      </c>
      <c r="P35" s="122">
        <f>O35*(1+$N37)</f>
        <v>4356.1419409062491</v>
      </c>
      <c r="Q35" s="122">
        <f>P35*(1+$N37)</f>
        <v>4595.7297476560925</v>
      </c>
    </row>
    <row r="36" spans="1:17" x14ac:dyDescent="0.2">
      <c r="A36" s="75" t="s">
        <v>80</v>
      </c>
      <c r="B36" s="34"/>
      <c r="C36" s="74"/>
      <c r="D36" s="74">
        <f>D35/C35-1</f>
        <v>-4.6271094175285299E-3</v>
      </c>
      <c r="E36" s="74">
        <f>E35/D35-1</f>
        <v>-1.6406890894175019E-3</v>
      </c>
      <c r="F36" s="34"/>
      <c r="G36" s="92"/>
      <c r="H36" s="93">
        <f>H35/G35-1</f>
        <v>2.4111675126903487E-2</v>
      </c>
      <c r="I36" s="90"/>
      <c r="J36" s="92"/>
      <c r="K36" s="122"/>
      <c r="L36" s="90"/>
      <c r="M36" s="122"/>
      <c r="N36" s="251"/>
      <c r="O36" s="251"/>
      <c r="P36" s="251"/>
      <c r="Q36" s="251"/>
    </row>
    <row r="37" spans="1:17" x14ac:dyDescent="0.2">
      <c r="A37" s="77" t="s">
        <v>82</v>
      </c>
      <c r="B37" s="34"/>
      <c r="C37" s="76"/>
      <c r="D37" s="76">
        <v>0.05</v>
      </c>
      <c r="E37" s="76">
        <v>0.06</v>
      </c>
      <c r="F37" s="131">
        <f>AVERAGE(C37:E37)</f>
        <v>5.5E-2</v>
      </c>
      <c r="G37" s="93"/>
      <c r="H37" s="93">
        <v>0.01</v>
      </c>
      <c r="I37" s="91"/>
      <c r="J37" s="93"/>
      <c r="K37" s="123">
        <f>H37</f>
        <v>0.01</v>
      </c>
      <c r="L37" s="91"/>
      <c r="M37" s="123"/>
      <c r="N37" s="131">
        <f>F37</f>
        <v>5.5E-2</v>
      </c>
      <c r="O37" s="123"/>
      <c r="P37" s="123"/>
      <c r="Q37" s="123"/>
    </row>
    <row r="38" spans="1:17" hidden="1" outlineLevel="1" x14ac:dyDescent="0.2">
      <c r="A38" s="78" t="s">
        <v>81</v>
      </c>
      <c r="B38" s="34"/>
      <c r="C38" s="76"/>
      <c r="D38" s="76">
        <v>1.4999999999999999E-2</v>
      </c>
      <c r="E38" s="76">
        <v>3.5000000000000003E-2</v>
      </c>
      <c r="F38" s="34"/>
      <c r="G38" s="92"/>
      <c r="H38" s="93">
        <v>-0.01</v>
      </c>
      <c r="I38" s="90"/>
      <c r="J38" s="92"/>
      <c r="K38" s="122"/>
      <c r="L38" s="90"/>
      <c r="M38" s="122"/>
      <c r="N38" s="251"/>
      <c r="O38" s="251"/>
      <c r="P38" s="251"/>
      <c r="Q38" s="251"/>
    </row>
    <row r="39" spans="1:17" hidden="1" outlineLevel="1" x14ac:dyDescent="0.2">
      <c r="A39" s="78" t="s">
        <v>49</v>
      </c>
      <c r="B39" s="34"/>
      <c r="C39" s="76"/>
      <c r="D39" s="76">
        <f>D37-D38</f>
        <v>3.5000000000000003E-2</v>
      </c>
      <c r="E39" s="76">
        <f>E37-E38</f>
        <v>2.4999999999999994E-2</v>
      </c>
      <c r="F39" s="34"/>
      <c r="G39" s="92"/>
      <c r="H39" s="93">
        <v>0.02</v>
      </c>
      <c r="I39" s="90"/>
      <c r="J39" s="92"/>
      <c r="K39" s="122"/>
      <c r="L39" s="90"/>
      <c r="M39" s="122"/>
      <c r="N39" s="251"/>
      <c r="O39" s="251"/>
      <c r="P39" s="251"/>
      <c r="Q39" s="251"/>
    </row>
    <row r="40" spans="1:17" collapsed="1" x14ac:dyDescent="0.2">
      <c r="A40" s="71"/>
      <c r="B40" s="34"/>
      <c r="C40" s="34"/>
      <c r="D40" s="34"/>
      <c r="E40" s="34"/>
      <c r="F40" s="34"/>
      <c r="G40" s="92"/>
      <c r="H40" s="92"/>
      <c r="I40" s="90"/>
      <c r="J40" s="92"/>
      <c r="K40" s="122"/>
      <c r="L40" s="90"/>
      <c r="M40" s="122"/>
      <c r="N40" s="251"/>
      <c r="O40" s="251"/>
      <c r="P40" s="251"/>
      <c r="Q40" s="251"/>
    </row>
    <row r="41" spans="1:17" x14ac:dyDescent="0.2">
      <c r="A41" s="71" t="s">
        <v>78</v>
      </c>
      <c r="B41" s="34"/>
      <c r="C41" s="34">
        <v>2884</v>
      </c>
      <c r="D41" s="34">
        <v>2794</v>
      </c>
      <c r="E41" s="34">
        <v>2919</v>
      </c>
      <c r="F41" s="34"/>
      <c r="G41" s="92">
        <v>1219</v>
      </c>
      <c r="H41" s="92">
        <v>1318</v>
      </c>
      <c r="I41" s="90"/>
      <c r="J41" s="92">
        <f>E41-G41</f>
        <v>1700</v>
      </c>
      <c r="K41" s="122">
        <f>J41*(1+K43)</f>
        <v>1887.0000000000002</v>
      </c>
      <c r="L41" s="90"/>
      <c r="M41" s="122">
        <f>K41+H41</f>
        <v>3205</v>
      </c>
      <c r="N41" s="122">
        <f>M41*(1+$N43)</f>
        <v>3477.4249999999997</v>
      </c>
      <c r="O41" s="122">
        <f>N41*(1+$N43)</f>
        <v>3773.0061249999994</v>
      </c>
      <c r="P41" s="122">
        <f>O41*(1+$N43)</f>
        <v>4093.7116456249992</v>
      </c>
      <c r="Q41" s="122">
        <f>P41*(1+$N43)</f>
        <v>4441.6771355031242</v>
      </c>
    </row>
    <row r="42" spans="1:17" x14ac:dyDescent="0.2">
      <c r="A42" s="75" t="s">
        <v>80</v>
      </c>
      <c r="B42" s="34"/>
      <c r="C42" s="74"/>
      <c r="D42" s="74">
        <f>D41/C41-1</f>
        <v>-3.1206657420249639E-2</v>
      </c>
      <c r="E42" s="74">
        <f>E41/D41-1</f>
        <v>4.4738725841088067E-2</v>
      </c>
      <c r="F42" s="34"/>
      <c r="G42" s="92"/>
      <c r="H42" s="93">
        <f>H41/G41-1</f>
        <v>8.1214109926168954E-2</v>
      </c>
      <c r="I42" s="90"/>
      <c r="J42" s="92"/>
      <c r="K42" s="122"/>
      <c r="L42" s="90"/>
      <c r="M42" s="122"/>
      <c r="N42" s="251"/>
      <c r="O42" s="251"/>
      <c r="P42" s="251"/>
      <c r="Q42" s="251"/>
    </row>
    <row r="43" spans="1:17" x14ac:dyDescent="0.2">
      <c r="A43" s="77" t="s">
        <v>82</v>
      </c>
      <c r="B43" s="34"/>
      <c r="C43" s="76"/>
      <c r="D43" s="76">
        <v>0.08</v>
      </c>
      <c r="E43" s="76">
        <v>0.09</v>
      </c>
      <c r="F43" s="131">
        <f>AVERAGE(C43:E43)</f>
        <v>8.4999999999999992E-2</v>
      </c>
      <c r="G43" s="93"/>
      <c r="H43" s="93">
        <v>0.11</v>
      </c>
      <c r="I43" s="91"/>
      <c r="J43" s="93"/>
      <c r="K43" s="123">
        <f>H43</f>
        <v>0.11</v>
      </c>
      <c r="L43" s="91"/>
      <c r="M43" s="123"/>
      <c r="N43" s="131">
        <f>F43</f>
        <v>8.4999999999999992E-2</v>
      </c>
      <c r="O43" s="123"/>
      <c r="P43" s="123"/>
      <c r="Q43" s="123"/>
    </row>
    <row r="44" spans="1:17" hidden="1" outlineLevel="1" x14ac:dyDescent="0.2">
      <c r="A44" s="78" t="s">
        <v>81</v>
      </c>
      <c r="B44" s="34"/>
      <c r="C44" s="76"/>
      <c r="D44" s="76">
        <v>0.06</v>
      </c>
      <c r="E44" s="76">
        <v>7.0000000000000007E-2</v>
      </c>
      <c r="F44" s="34"/>
      <c r="G44" s="92"/>
      <c r="H44" s="93">
        <v>7.0000000000000007E-2</v>
      </c>
      <c r="I44" s="90"/>
      <c r="J44" s="92"/>
      <c r="K44" s="122"/>
      <c r="L44" s="90"/>
      <c r="M44" s="122"/>
      <c r="N44" s="251"/>
      <c r="O44" s="251"/>
      <c r="P44" s="251"/>
      <c r="Q44" s="251"/>
    </row>
    <row r="45" spans="1:17" hidden="1" outlineLevel="1" x14ac:dyDescent="0.2">
      <c r="A45" s="78" t="s">
        <v>49</v>
      </c>
      <c r="B45" s="34"/>
      <c r="C45" s="76"/>
      <c r="D45" s="76">
        <f>D43-D44</f>
        <v>2.0000000000000004E-2</v>
      </c>
      <c r="E45" s="76">
        <f>E43-E44</f>
        <v>1.999999999999999E-2</v>
      </c>
      <c r="F45" s="34"/>
      <c r="G45" s="92"/>
      <c r="H45" s="93">
        <v>0.05</v>
      </c>
      <c r="I45" s="90"/>
      <c r="J45" s="92"/>
      <c r="K45" s="122"/>
      <c r="L45" s="90"/>
      <c r="M45" s="122"/>
      <c r="N45" s="251"/>
      <c r="O45" s="251"/>
      <c r="P45" s="251"/>
      <c r="Q45" s="251"/>
    </row>
    <row r="46" spans="1:17" collapsed="1" x14ac:dyDescent="0.2">
      <c r="A46" s="71"/>
      <c r="B46" s="34"/>
      <c r="C46" s="34"/>
      <c r="D46" s="34"/>
      <c r="E46" s="34"/>
      <c r="F46" s="34"/>
      <c r="G46" s="92"/>
      <c r="H46" s="92"/>
      <c r="I46" s="90"/>
      <c r="J46" s="92"/>
      <c r="K46" s="122"/>
      <c r="L46" s="90"/>
      <c r="M46" s="122"/>
      <c r="N46" s="251"/>
      <c r="O46" s="251"/>
      <c r="P46" s="251"/>
      <c r="Q46" s="251"/>
    </row>
    <row r="47" spans="1:17" x14ac:dyDescent="0.2">
      <c r="A47" s="71"/>
      <c r="B47" s="34"/>
      <c r="C47" s="34"/>
      <c r="D47" s="34"/>
      <c r="E47" s="34"/>
      <c r="F47" s="34"/>
      <c r="G47" s="92"/>
      <c r="H47" s="92"/>
      <c r="I47" s="90"/>
      <c r="J47" s="92"/>
      <c r="K47" s="122"/>
      <c r="L47" s="90"/>
      <c r="M47" s="122"/>
      <c r="N47" s="251"/>
      <c r="O47" s="251"/>
      <c r="P47" s="251"/>
      <c r="Q47" s="251"/>
    </row>
    <row r="48" spans="1:17" x14ac:dyDescent="0.2">
      <c r="A48" s="73" t="s">
        <v>79</v>
      </c>
      <c r="B48" s="48">
        <v>62799</v>
      </c>
      <c r="C48" s="48">
        <f>C5+C11+C17+C23+C29+C35+C41</f>
        <v>63525</v>
      </c>
      <c r="D48" s="48">
        <f>D5+D11+D17+D23+D29+D35+D41</f>
        <v>64661</v>
      </c>
      <c r="E48" s="48">
        <f>E5+E11+E17+E23+E29+E35+E41</f>
        <v>67161</v>
      </c>
      <c r="F48" s="34"/>
      <c r="G48" s="94">
        <f>G5+G11+G17+G23+G29+G35+G41</f>
        <v>29333</v>
      </c>
      <c r="H48" s="94">
        <f>H5+H11+H17+H23+H29+H35+H41</f>
        <v>29826</v>
      </c>
      <c r="I48" s="90"/>
      <c r="J48" s="94">
        <f>J5+J11+J17+J23+J29+J35+J41</f>
        <v>37828</v>
      </c>
      <c r="K48" s="94">
        <f>K5+K11+K17+K23+K29+K35+K41</f>
        <v>39075.599684286448</v>
      </c>
      <c r="L48" s="90"/>
      <c r="M48" s="124">
        <f>SUM(M41,M35,M29,M23,M17,M11,M5)</f>
        <v>68901.599684286441</v>
      </c>
      <c r="N48" s="124">
        <f>SUM(N41,N35,N29,N23,N17,N11,N5)</f>
        <v>71678.291914723755</v>
      </c>
      <c r="O48" s="124">
        <f>SUM(O41,O35,O29,O23,O17,O11,O5)</f>
        <v>74607.792018468841</v>
      </c>
      <c r="P48" s="124">
        <f>SUM(P41,P35,P29,P23,P17,P11,P5)</f>
        <v>77699.709872489751</v>
      </c>
      <c r="Q48" s="124">
        <f>SUM(Q41,Q35,Q29,Q23,Q17,Q11,Q5)</f>
        <v>80964.307688266126</v>
      </c>
    </row>
    <row r="49" spans="1:17" x14ac:dyDescent="0.2">
      <c r="A49" s="34"/>
      <c r="B49" s="34"/>
      <c r="C49" s="79">
        <f>C48/B48-1</f>
        <v>1.1560693641618602E-2</v>
      </c>
      <c r="D49" s="79">
        <f>D48/C48-1</f>
        <v>1.7882723337268702E-2</v>
      </c>
      <c r="E49" s="79">
        <f>E48/D48-1</f>
        <v>3.8663181825211446E-2</v>
      </c>
      <c r="F49" s="34"/>
      <c r="G49" s="93"/>
      <c r="H49" s="93">
        <f>H48/G48-1</f>
        <v>1.6807009170558773E-2</v>
      </c>
      <c r="I49" s="90"/>
      <c r="J49" s="92"/>
      <c r="K49" s="123"/>
      <c r="L49" s="90"/>
      <c r="M49" s="123"/>
      <c r="N49" s="252"/>
      <c r="O49" s="252"/>
      <c r="P49" s="252"/>
      <c r="Q49" s="252"/>
    </row>
    <row r="50" spans="1:17" x14ac:dyDescent="0.2">
      <c r="C50" s="218"/>
      <c r="D50" s="218"/>
    </row>
    <row r="51" spans="1:17" ht="24.95" customHeight="1" x14ac:dyDescent="0.2">
      <c r="A51" s="180" t="s">
        <v>302</v>
      </c>
      <c r="B51" s="198" t="s">
        <v>303</v>
      </c>
      <c r="C51" s="389" t="s">
        <v>304</v>
      </c>
      <c r="D51" s="390"/>
      <c r="E51" s="391"/>
      <c r="G51" s="389" t="s">
        <v>305</v>
      </c>
      <c r="H51" s="391"/>
      <c r="J51" s="389" t="s">
        <v>306</v>
      </c>
      <c r="K51" s="391"/>
      <c r="M51" s="381" t="s">
        <v>306</v>
      </c>
      <c r="N51" s="382"/>
      <c r="O51" s="382"/>
      <c r="P51" s="382"/>
      <c r="Q51" s="383"/>
    </row>
    <row r="52" spans="1:17" x14ac:dyDescent="0.2">
      <c r="D52" s="227"/>
    </row>
    <row r="56" spans="1:17" x14ac:dyDescent="0.2">
      <c r="M56" s="253"/>
      <c r="N56" s="253"/>
      <c r="O56" s="253"/>
    </row>
  </sheetData>
  <mergeCells count="7">
    <mergeCell ref="R2:S2"/>
    <mergeCell ref="C51:E51"/>
    <mergeCell ref="G51:H51"/>
    <mergeCell ref="J51:K51"/>
    <mergeCell ref="M51:Q51"/>
    <mergeCell ref="J1:K2"/>
    <mergeCell ref="M2:Q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DCF</vt:lpstr>
      <vt:lpstr>DCF Summary</vt:lpstr>
      <vt:lpstr>WACC</vt:lpstr>
      <vt:lpstr>STEP BY STEP</vt:lpstr>
      <vt:lpstr>Beta Calculation</vt:lpstr>
      <vt:lpstr>Debt Schedule</vt:lpstr>
      <vt:lpstr>Fixed Assets Schedule</vt:lpstr>
      <vt:lpstr>PepsiCo-BS</vt:lpstr>
      <vt:lpstr>PepsiCo-CFS</vt:lpstr>
      <vt:lpstr>PepsiCo-IS</vt:lpstr>
      <vt:lpstr>Revenue Segments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Vohra</dc:creator>
  <cp:lastModifiedBy>t26371</cp:lastModifiedBy>
  <dcterms:created xsi:type="dcterms:W3CDTF">2018-05-17T07:31:57Z</dcterms:created>
  <dcterms:modified xsi:type="dcterms:W3CDTF">2026-06-03T20:01:48Z</dcterms:modified>
</cp:coreProperties>
</file>